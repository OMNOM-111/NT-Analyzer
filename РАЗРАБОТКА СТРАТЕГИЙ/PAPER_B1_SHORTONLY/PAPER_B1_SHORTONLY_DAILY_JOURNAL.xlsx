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Journal" sheetId="1" state="visible" r:id="rId1"/>
    <sheet name="Summary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6" customWidth="1" min="4" max="4"/>
    <col width="27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25" customWidth="1" min="13" max="13"/>
    <col width="17" customWidth="1" min="14" max="14"/>
    <col width="18" customWidth="1" min="15" max="15"/>
    <col width="17" customWidth="1" min="16" max="16"/>
    <col width="18" customWidth="1" min="17" max="17"/>
    <col width="20" customWidth="1" min="18" max="18"/>
    <col width="24" customWidth="1" min="19" max="19"/>
    <col width="14" customWidth="1" min="20" max="20"/>
    <col width="21" customWidth="1" min="21" max="21"/>
    <col width="19" customWidth="1" min="22" max="22"/>
    <col width="23" customWidth="1" min="23" max="23"/>
    <col width="20" customWidth="1" min="24" max="24"/>
    <col width="16" customWidth="1" min="25" max="25"/>
    <col width="18" customWidth="1" min="26" max="26"/>
    <col width="21" customWidth="1" min="27" max="27"/>
    <col width="16" customWidth="1" min="28" max="28"/>
    <col width="14" customWidth="1" min="29" max="29"/>
    <col width="16" customWidth="1" min="30" max="30"/>
    <col width="22" customWidth="1" min="31" max="31"/>
    <col width="23" customWidth="1" min="32" max="32"/>
    <col width="28" customWidth="1" min="33" max="33"/>
    <col width="14" customWidth="1" min="34" max="34"/>
  </cols>
  <sheetData>
    <row r="1" ht="32" customHeight="1">
      <c r="A1" s="1" t="inlineStr">
        <is>
          <t>date_pt</t>
        </is>
      </c>
      <c r="B1" s="1" t="inlineStr">
        <is>
          <t>trading_day_number</t>
        </is>
      </c>
      <c r="C1" s="1" t="inlineStr">
        <is>
          <t>session_status</t>
        </is>
      </c>
      <c r="D1" s="1" t="inlineStr">
        <is>
          <t>strategy_enabled_time_pt</t>
        </is>
      </c>
      <c r="E1" s="1" t="inlineStr">
        <is>
          <t>strategy_disabled_time_pt</t>
        </is>
      </c>
      <c r="F1" s="1" t="inlineStr">
        <is>
          <t>instrument</t>
        </is>
      </c>
      <c r="G1" s="1" t="inlineStr">
        <is>
          <t>contract_month</t>
        </is>
      </c>
      <c r="H1" s="1" t="inlineStr">
        <is>
          <t>trades_count</t>
        </is>
      </c>
      <c r="I1" s="1" t="inlineStr">
        <is>
          <t>total_qty</t>
        </is>
      </c>
      <c r="J1" s="1" t="inlineStr">
        <is>
          <t>gross_pnl</t>
        </is>
      </c>
      <c r="K1" s="1" t="inlineStr">
        <is>
          <t>commission_estimated</t>
        </is>
      </c>
      <c r="L1" s="1" t="inlineStr">
        <is>
          <t>adjusted_pnl</t>
        </is>
      </c>
      <c r="M1" s="1" t="inlineStr">
        <is>
          <t>cumulative_adjusted_pnl</t>
        </is>
      </c>
      <c r="N1" s="1" t="inlineStr">
        <is>
          <t>high_water_mark</t>
        </is>
      </c>
      <c r="O1" s="1" t="inlineStr">
        <is>
          <t>current_drawdown</t>
        </is>
      </c>
      <c r="P1" s="1" t="inlineStr">
        <is>
          <t>daily_win_count</t>
        </is>
      </c>
      <c r="Q1" s="1" t="inlineStr">
        <is>
          <t>daily_loss_count</t>
        </is>
      </c>
      <c r="R1" s="1" t="inlineStr">
        <is>
          <t>cumulative_win_pct</t>
        </is>
      </c>
      <c r="S1" s="1" t="inlineStr">
        <is>
          <t>cumulative_adjusted_pf</t>
        </is>
      </c>
      <c r="T1" s="1" t="inlineStr">
        <is>
          <t>avg_trade</t>
        </is>
      </c>
      <c r="U1" s="1" t="inlineStr">
        <is>
          <t>max_favorable_trade</t>
        </is>
      </c>
      <c r="V1" s="1" t="inlineStr">
        <is>
          <t>max_adverse_trade</t>
        </is>
      </c>
      <c r="W1" s="1" t="inlineStr">
        <is>
          <t>median_slippage_ticks</t>
        </is>
      </c>
      <c r="X1" s="1" t="inlineStr">
        <is>
          <t>max_slippage_ticks</t>
        </is>
      </c>
      <c r="Y1" s="1" t="inlineStr">
        <is>
          <t>stop_hit_count</t>
        </is>
      </c>
      <c r="Z1" s="1" t="inlineStr">
        <is>
          <t>target_hit_count</t>
        </is>
      </c>
      <c r="AA1" s="1" t="inlineStr">
        <is>
          <t>manual_intervention</t>
        </is>
      </c>
      <c r="AB1" s="1" t="inlineStr">
        <is>
          <t>platform_error</t>
        </is>
      </c>
      <c r="AC1" s="1" t="inlineStr">
        <is>
          <t>data_issue</t>
        </is>
      </c>
      <c r="AD1" s="1" t="inlineStr">
        <is>
          <t>rule_violation</t>
        </is>
      </c>
      <c r="AE1" s="1" t="inlineStr">
        <is>
          <t>daily_stop_triggered</t>
        </is>
      </c>
      <c r="AF1" s="1" t="inlineStr">
        <is>
          <t>weekly_stop_triggered</t>
        </is>
      </c>
      <c r="AG1" s="1" t="inlineStr">
        <is>
          <t>trailing_dd_stop_triggered</t>
        </is>
      </c>
      <c r="AH1" s="1" t="inlineStr">
        <is>
          <t>notes</t>
        </is>
      </c>
    </row>
    <row r="2">
      <c r="J2" s="2" t="n"/>
      <c r="K2" s="2">
        <f>IF(ISNUMBER(I2),1.9*I2,"")</f>
        <v/>
      </c>
      <c r="L2" s="2">
        <f>IF(AND(ISNUMBER(J2),ISNUMBER(K2)),J2-K2,"")</f>
        <v/>
      </c>
      <c r="M2" s="2">
        <f>IF(ISNUMBER(L2),L2,"")</f>
        <v/>
      </c>
      <c r="N2" s="2">
        <f>IF(ISNUMBER(M2),MAX(M$2:M2),"")</f>
        <v/>
      </c>
      <c r="O2" s="2">
        <f>IF(ISNUMBER(M2),M2-N2,"")</f>
        <v/>
      </c>
      <c r="R2" s="3">
        <f>IF(COUNT(L$2:L2)&gt;0,COUNTIF(L$2:L2,"&gt;0")/COUNT(L$2:L2)*100,"")</f>
        <v/>
      </c>
      <c r="S2" s="3">
        <f>IF(SUMIF(L$2:L2,"&lt;0")&lt;0,SUMIF(L$2:L2,"&gt;0")/ABS(SUMIF(L$2:L2,"&lt;0")),"")</f>
        <v/>
      </c>
      <c r="T2" s="2">
        <f>IF(SUM(H$2:H2)&gt;0,SUM(L$2:L2)/SUM(H$2:H2),"")</f>
        <v/>
      </c>
      <c r="U2" s="2" t="n"/>
      <c r="V2" s="2" t="n"/>
      <c r="AE2">
        <f>IF(ISNUMBER(L2),IF(L2&lt;=-200,1,0),"")</f>
        <v/>
      </c>
      <c r="AG2">
        <f>IF(ISNUMBER(O2),IF(O2&lt;=-300,1,0),"")</f>
        <v/>
      </c>
    </row>
    <row r="3">
      <c r="J3" s="2" t="n"/>
      <c r="K3" s="2">
        <f>IF(ISNUMBER(I3),1.9*I3,"")</f>
        <v/>
      </c>
      <c r="L3" s="2">
        <f>IF(AND(ISNUMBER(J3),ISNUMBER(K3)),J3-K3,"")</f>
        <v/>
      </c>
      <c r="M3" s="2">
        <f>IF(ISNUMBER(L3),IF(ISNUMBER(M2),M2,0)+L3,IF(ISNUMBER(M2),M2,""))</f>
        <v/>
      </c>
      <c r="N3" s="2">
        <f>IF(ISNUMBER(M3),MAX(M$2:M3),"")</f>
        <v/>
      </c>
      <c r="O3" s="2">
        <f>IF(ISNUMBER(M3),M3-N3,"")</f>
        <v/>
      </c>
      <c r="R3" s="3">
        <f>IF(COUNT(L$2:L3)&gt;0,COUNTIF(L$2:L3,"&gt;0")/COUNT(L$2:L3)*100,"")</f>
        <v/>
      </c>
      <c r="S3" s="3">
        <f>IF(SUMIF(L$2:L3,"&lt;0")&lt;0,SUMIF(L$2:L3,"&gt;0")/ABS(SUMIF(L$2:L3,"&lt;0")),"")</f>
        <v/>
      </c>
      <c r="T3" s="2">
        <f>IF(SUM(H$2:H3)&gt;0,SUM(L$2:L3)/SUM(H$2:H3),"")</f>
        <v/>
      </c>
      <c r="U3" s="2" t="n"/>
      <c r="V3" s="2" t="n"/>
      <c r="AE3">
        <f>IF(ISNUMBER(L3),IF(L3&lt;=-200,1,0),"")</f>
        <v/>
      </c>
      <c r="AG3">
        <f>IF(ISNUMBER(O3),IF(O3&lt;=-300,1,0),"")</f>
        <v/>
      </c>
    </row>
    <row r="4">
      <c r="J4" s="2" t="n"/>
      <c r="K4" s="2">
        <f>IF(ISNUMBER(I4),1.9*I4,"")</f>
        <v/>
      </c>
      <c r="L4" s="2">
        <f>IF(AND(ISNUMBER(J4),ISNUMBER(K4)),J4-K4,"")</f>
        <v/>
      </c>
      <c r="M4" s="2">
        <f>IF(ISNUMBER(L4),IF(ISNUMBER(M3),M3,0)+L4,IF(ISNUMBER(M3),M3,""))</f>
        <v/>
      </c>
      <c r="N4" s="2">
        <f>IF(ISNUMBER(M4),MAX(M$2:M4),"")</f>
        <v/>
      </c>
      <c r="O4" s="2">
        <f>IF(ISNUMBER(M4),M4-N4,"")</f>
        <v/>
      </c>
      <c r="R4" s="3">
        <f>IF(COUNT(L$2:L4)&gt;0,COUNTIF(L$2:L4,"&gt;0")/COUNT(L$2:L4)*100,"")</f>
        <v/>
      </c>
      <c r="S4" s="3">
        <f>IF(SUMIF(L$2:L4,"&lt;0")&lt;0,SUMIF(L$2:L4,"&gt;0")/ABS(SUMIF(L$2:L4,"&lt;0")),"")</f>
        <v/>
      </c>
      <c r="T4" s="2">
        <f>IF(SUM(H$2:H4)&gt;0,SUM(L$2:L4)/SUM(H$2:H4),"")</f>
        <v/>
      </c>
      <c r="U4" s="2" t="n"/>
      <c r="V4" s="2" t="n"/>
      <c r="AE4">
        <f>IF(ISNUMBER(L4),IF(L4&lt;=-200,1,0),"")</f>
        <v/>
      </c>
      <c r="AG4">
        <f>IF(ISNUMBER(O4),IF(O4&lt;=-300,1,0),"")</f>
        <v/>
      </c>
    </row>
    <row r="5">
      <c r="J5" s="2" t="n"/>
      <c r="K5" s="2">
        <f>IF(ISNUMBER(I5),1.9*I5,"")</f>
        <v/>
      </c>
      <c r="L5" s="2">
        <f>IF(AND(ISNUMBER(J5),ISNUMBER(K5)),J5-K5,"")</f>
        <v/>
      </c>
      <c r="M5" s="2">
        <f>IF(ISNUMBER(L5),IF(ISNUMBER(M4),M4,0)+L5,IF(ISNUMBER(M4),M4,""))</f>
        <v/>
      </c>
      <c r="N5" s="2">
        <f>IF(ISNUMBER(M5),MAX(M$2:M5),"")</f>
        <v/>
      </c>
      <c r="O5" s="2">
        <f>IF(ISNUMBER(M5),M5-N5,"")</f>
        <v/>
      </c>
      <c r="R5" s="3">
        <f>IF(COUNT(L$2:L5)&gt;0,COUNTIF(L$2:L5,"&gt;0")/COUNT(L$2:L5)*100,"")</f>
        <v/>
      </c>
      <c r="S5" s="3">
        <f>IF(SUMIF(L$2:L5,"&lt;0")&lt;0,SUMIF(L$2:L5,"&gt;0")/ABS(SUMIF(L$2:L5,"&lt;0")),"")</f>
        <v/>
      </c>
      <c r="T5" s="2">
        <f>IF(SUM(H$2:H5)&gt;0,SUM(L$2:L5)/SUM(H$2:H5),"")</f>
        <v/>
      </c>
      <c r="U5" s="2" t="n"/>
      <c r="V5" s="2" t="n"/>
      <c r="AE5">
        <f>IF(ISNUMBER(L5),IF(L5&lt;=-200,1,0),"")</f>
        <v/>
      </c>
      <c r="AG5">
        <f>IF(ISNUMBER(O5),IF(O5&lt;=-300,1,0),"")</f>
        <v/>
      </c>
    </row>
    <row r="6">
      <c r="J6" s="2" t="n"/>
      <c r="K6" s="2">
        <f>IF(ISNUMBER(I6),1.9*I6,"")</f>
        <v/>
      </c>
      <c r="L6" s="2">
        <f>IF(AND(ISNUMBER(J6),ISNUMBER(K6)),J6-K6,"")</f>
        <v/>
      </c>
      <c r="M6" s="2">
        <f>IF(ISNUMBER(L6),IF(ISNUMBER(M5),M5,0)+L6,IF(ISNUMBER(M5),M5,""))</f>
        <v/>
      </c>
      <c r="N6" s="2">
        <f>IF(ISNUMBER(M6),MAX(M$2:M6),"")</f>
        <v/>
      </c>
      <c r="O6" s="2">
        <f>IF(ISNUMBER(M6),M6-N6,"")</f>
        <v/>
      </c>
      <c r="R6" s="3">
        <f>IF(COUNT(L$2:L6)&gt;0,COUNTIF(L$2:L6,"&gt;0")/COUNT(L$2:L6)*100,"")</f>
        <v/>
      </c>
      <c r="S6" s="3">
        <f>IF(SUMIF(L$2:L6,"&lt;0")&lt;0,SUMIF(L$2:L6,"&gt;0")/ABS(SUMIF(L$2:L6,"&lt;0")),"")</f>
        <v/>
      </c>
      <c r="T6" s="2">
        <f>IF(SUM(H$2:H6)&gt;0,SUM(L$2:L6)/SUM(H$2:H6),"")</f>
        <v/>
      </c>
      <c r="U6" s="2" t="n"/>
      <c r="V6" s="2" t="n"/>
      <c r="AE6">
        <f>IF(ISNUMBER(L6),IF(L6&lt;=-200,1,0),"")</f>
        <v/>
      </c>
      <c r="AG6">
        <f>IF(ISNUMBER(O6),IF(O6&lt;=-300,1,0),"")</f>
        <v/>
      </c>
    </row>
    <row r="7">
      <c r="J7" s="2" t="n"/>
      <c r="K7" s="2">
        <f>IF(ISNUMBER(I7),1.9*I7,"")</f>
        <v/>
      </c>
      <c r="L7" s="2">
        <f>IF(AND(ISNUMBER(J7),ISNUMBER(K7)),J7-K7,"")</f>
        <v/>
      </c>
      <c r="M7" s="2">
        <f>IF(ISNUMBER(L7),IF(ISNUMBER(M6),M6,0)+L7,IF(ISNUMBER(M6),M6,""))</f>
        <v/>
      </c>
      <c r="N7" s="2">
        <f>IF(ISNUMBER(M7),MAX(M$2:M7),"")</f>
        <v/>
      </c>
      <c r="O7" s="2">
        <f>IF(ISNUMBER(M7),M7-N7,"")</f>
        <v/>
      </c>
      <c r="R7" s="3">
        <f>IF(COUNT(L$2:L7)&gt;0,COUNTIF(L$2:L7,"&gt;0")/COUNT(L$2:L7)*100,"")</f>
        <v/>
      </c>
      <c r="S7" s="3">
        <f>IF(SUMIF(L$2:L7,"&lt;0")&lt;0,SUMIF(L$2:L7,"&gt;0")/ABS(SUMIF(L$2:L7,"&lt;0")),"")</f>
        <v/>
      </c>
      <c r="T7" s="2">
        <f>IF(SUM(H$2:H7)&gt;0,SUM(L$2:L7)/SUM(H$2:H7),"")</f>
        <v/>
      </c>
      <c r="U7" s="2" t="n"/>
      <c r="V7" s="2" t="n"/>
      <c r="AE7">
        <f>IF(ISNUMBER(L7),IF(L7&lt;=-200,1,0),"")</f>
        <v/>
      </c>
      <c r="AG7">
        <f>IF(ISNUMBER(O7),IF(O7&lt;=-300,1,0),"")</f>
        <v/>
      </c>
    </row>
    <row r="8">
      <c r="J8" s="2" t="n"/>
      <c r="K8" s="2">
        <f>IF(ISNUMBER(I8),1.9*I8,"")</f>
        <v/>
      </c>
      <c r="L8" s="2">
        <f>IF(AND(ISNUMBER(J8),ISNUMBER(K8)),J8-K8,"")</f>
        <v/>
      </c>
      <c r="M8" s="2">
        <f>IF(ISNUMBER(L8),IF(ISNUMBER(M7),M7,0)+L8,IF(ISNUMBER(M7),M7,""))</f>
        <v/>
      </c>
      <c r="N8" s="2">
        <f>IF(ISNUMBER(M8),MAX(M$2:M8),"")</f>
        <v/>
      </c>
      <c r="O8" s="2">
        <f>IF(ISNUMBER(M8),M8-N8,"")</f>
        <v/>
      </c>
      <c r="R8" s="3">
        <f>IF(COUNT(L$2:L8)&gt;0,COUNTIF(L$2:L8,"&gt;0")/COUNT(L$2:L8)*100,"")</f>
        <v/>
      </c>
      <c r="S8" s="3">
        <f>IF(SUMIF(L$2:L8,"&lt;0")&lt;0,SUMIF(L$2:L8,"&gt;0")/ABS(SUMIF(L$2:L8,"&lt;0")),"")</f>
        <v/>
      </c>
      <c r="T8" s="2">
        <f>IF(SUM(H$2:H8)&gt;0,SUM(L$2:L8)/SUM(H$2:H8),"")</f>
        <v/>
      </c>
      <c r="U8" s="2" t="n"/>
      <c r="V8" s="2" t="n"/>
      <c r="AE8">
        <f>IF(ISNUMBER(L8),IF(L8&lt;=-200,1,0),"")</f>
        <v/>
      </c>
      <c r="AG8">
        <f>IF(ISNUMBER(O8),IF(O8&lt;=-300,1,0),"")</f>
        <v/>
      </c>
    </row>
    <row r="9">
      <c r="J9" s="2" t="n"/>
      <c r="K9" s="2">
        <f>IF(ISNUMBER(I9),1.9*I9,"")</f>
        <v/>
      </c>
      <c r="L9" s="2">
        <f>IF(AND(ISNUMBER(J9),ISNUMBER(K9)),J9-K9,"")</f>
        <v/>
      </c>
      <c r="M9" s="2">
        <f>IF(ISNUMBER(L9),IF(ISNUMBER(M8),M8,0)+L9,IF(ISNUMBER(M8),M8,""))</f>
        <v/>
      </c>
      <c r="N9" s="2">
        <f>IF(ISNUMBER(M9),MAX(M$2:M9),"")</f>
        <v/>
      </c>
      <c r="O9" s="2">
        <f>IF(ISNUMBER(M9),M9-N9,"")</f>
        <v/>
      </c>
      <c r="R9" s="3">
        <f>IF(COUNT(L$2:L9)&gt;0,COUNTIF(L$2:L9,"&gt;0")/COUNT(L$2:L9)*100,"")</f>
        <v/>
      </c>
      <c r="S9" s="3">
        <f>IF(SUMIF(L$2:L9,"&lt;0")&lt;0,SUMIF(L$2:L9,"&gt;0")/ABS(SUMIF(L$2:L9,"&lt;0")),"")</f>
        <v/>
      </c>
      <c r="T9" s="2">
        <f>IF(SUM(H$2:H9)&gt;0,SUM(L$2:L9)/SUM(H$2:H9),"")</f>
        <v/>
      </c>
      <c r="U9" s="2" t="n"/>
      <c r="V9" s="2" t="n"/>
      <c r="AE9">
        <f>IF(ISNUMBER(L9),IF(L9&lt;=-200,1,0),"")</f>
        <v/>
      </c>
      <c r="AG9">
        <f>IF(ISNUMBER(O9),IF(O9&lt;=-300,1,0),"")</f>
        <v/>
      </c>
    </row>
    <row r="10">
      <c r="J10" s="2" t="n"/>
      <c r="K10" s="2">
        <f>IF(ISNUMBER(I10),1.9*I10,"")</f>
        <v/>
      </c>
      <c r="L10" s="2">
        <f>IF(AND(ISNUMBER(J10),ISNUMBER(K10)),J10-K10,"")</f>
        <v/>
      </c>
      <c r="M10" s="2">
        <f>IF(ISNUMBER(L10),IF(ISNUMBER(M9),M9,0)+L10,IF(ISNUMBER(M9),M9,""))</f>
        <v/>
      </c>
      <c r="N10" s="2">
        <f>IF(ISNUMBER(M10),MAX(M$2:M10),"")</f>
        <v/>
      </c>
      <c r="O10" s="2">
        <f>IF(ISNUMBER(M10),M10-N10,"")</f>
        <v/>
      </c>
      <c r="R10" s="3">
        <f>IF(COUNT(L$2:L10)&gt;0,COUNTIF(L$2:L10,"&gt;0")/COUNT(L$2:L10)*100,"")</f>
        <v/>
      </c>
      <c r="S10" s="3">
        <f>IF(SUMIF(L$2:L10,"&lt;0")&lt;0,SUMIF(L$2:L10,"&gt;0")/ABS(SUMIF(L$2:L10,"&lt;0")),"")</f>
        <v/>
      </c>
      <c r="T10" s="2">
        <f>IF(SUM(H$2:H10)&gt;0,SUM(L$2:L10)/SUM(H$2:H10),"")</f>
        <v/>
      </c>
      <c r="U10" s="2" t="n"/>
      <c r="V10" s="2" t="n"/>
      <c r="AE10">
        <f>IF(ISNUMBER(L10),IF(L10&lt;=-200,1,0),"")</f>
        <v/>
      </c>
      <c r="AG10">
        <f>IF(ISNUMBER(O10),IF(O10&lt;=-300,1,0),"")</f>
        <v/>
      </c>
    </row>
    <row r="11">
      <c r="J11" s="2" t="n"/>
      <c r="K11" s="2">
        <f>IF(ISNUMBER(I11),1.9*I11,"")</f>
        <v/>
      </c>
      <c r="L11" s="2">
        <f>IF(AND(ISNUMBER(J11),ISNUMBER(K11)),J11-K11,"")</f>
        <v/>
      </c>
      <c r="M11" s="2">
        <f>IF(ISNUMBER(L11),IF(ISNUMBER(M10),M10,0)+L11,IF(ISNUMBER(M10),M10,""))</f>
        <v/>
      </c>
      <c r="N11" s="2">
        <f>IF(ISNUMBER(M11),MAX(M$2:M11),"")</f>
        <v/>
      </c>
      <c r="O11" s="2">
        <f>IF(ISNUMBER(M11),M11-N11,"")</f>
        <v/>
      </c>
      <c r="R11" s="3">
        <f>IF(COUNT(L$2:L11)&gt;0,COUNTIF(L$2:L11,"&gt;0")/COUNT(L$2:L11)*100,"")</f>
        <v/>
      </c>
      <c r="S11" s="3">
        <f>IF(SUMIF(L$2:L11,"&lt;0")&lt;0,SUMIF(L$2:L11,"&gt;0")/ABS(SUMIF(L$2:L11,"&lt;0")),"")</f>
        <v/>
      </c>
      <c r="T11" s="2">
        <f>IF(SUM(H$2:H11)&gt;0,SUM(L$2:L11)/SUM(H$2:H11),"")</f>
        <v/>
      </c>
      <c r="U11" s="2" t="n"/>
      <c r="V11" s="2" t="n"/>
      <c r="AE11">
        <f>IF(ISNUMBER(L11),IF(L11&lt;=-200,1,0),"")</f>
        <v/>
      </c>
      <c r="AG11">
        <f>IF(ISNUMBER(O11),IF(O11&lt;=-300,1,0),"")</f>
        <v/>
      </c>
    </row>
    <row r="12">
      <c r="J12" s="2" t="n"/>
      <c r="K12" s="2">
        <f>IF(ISNUMBER(I12),1.9*I12,"")</f>
        <v/>
      </c>
      <c r="L12" s="2">
        <f>IF(AND(ISNUMBER(J12),ISNUMBER(K12)),J12-K12,"")</f>
        <v/>
      </c>
      <c r="M12" s="2">
        <f>IF(ISNUMBER(L12),IF(ISNUMBER(M11),M11,0)+L12,IF(ISNUMBER(M11),M11,""))</f>
        <v/>
      </c>
      <c r="N12" s="2">
        <f>IF(ISNUMBER(M12),MAX(M$2:M12),"")</f>
        <v/>
      </c>
      <c r="O12" s="2">
        <f>IF(ISNUMBER(M12),M12-N12,"")</f>
        <v/>
      </c>
      <c r="R12" s="3">
        <f>IF(COUNT(L$2:L12)&gt;0,COUNTIF(L$2:L12,"&gt;0")/COUNT(L$2:L12)*100,"")</f>
        <v/>
      </c>
      <c r="S12" s="3">
        <f>IF(SUMIF(L$2:L12,"&lt;0")&lt;0,SUMIF(L$2:L12,"&gt;0")/ABS(SUMIF(L$2:L12,"&lt;0")),"")</f>
        <v/>
      </c>
      <c r="T12" s="2">
        <f>IF(SUM(H$2:H12)&gt;0,SUM(L$2:L12)/SUM(H$2:H12),"")</f>
        <v/>
      </c>
      <c r="U12" s="2" t="n"/>
      <c r="V12" s="2" t="n"/>
      <c r="AE12">
        <f>IF(ISNUMBER(L12),IF(L12&lt;=-200,1,0),"")</f>
        <v/>
      </c>
      <c r="AG12">
        <f>IF(ISNUMBER(O12),IF(O12&lt;=-300,1,0),"")</f>
        <v/>
      </c>
    </row>
    <row r="13">
      <c r="J13" s="2" t="n"/>
      <c r="K13" s="2">
        <f>IF(ISNUMBER(I13),1.9*I13,"")</f>
        <v/>
      </c>
      <c r="L13" s="2">
        <f>IF(AND(ISNUMBER(J13),ISNUMBER(K13)),J13-K13,"")</f>
        <v/>
      </c>
      <c r="M13" s="2">
        <f>IF(ISNUMBER(L13),IF(ISNUMBER(M12),M12,0)+L13,IF(ISNUMBER(M12),M12,""))</f>
        <v/>
      </c>
      <c r="N13" s="2">
        <f>IF(ISNUMBER(M13),MAX(M$2:M13),"")</f>
        <v/>
      </c>
      <c r="O13" s="2">
        <f>IF(ISNUMBER(M13),M13-N13,"")</f>
        <v/>
      </c>
      <c r="R13" s="3">
        <f>IF(COUNT(L$2:L13)&gt;0,COUNTIF(L$2:L13,"&gt;0")/COUNT(L$2:L13)*100,"")</f>
        <v/>
      </c>
      <c r="S13" s="3">
        <f>IF(SUMIF(L$2:L13,"&lt;0")&lt;0,SUMIF(L$2:L13,"&gt;0")/ABS(SUMIF(L$2:L13,"&lt;0")),"")</f>
        <v/>
      </c>
      <c r="T13" s="2">
        <f>IF(SUM(H$2:H13)&gt;0,SUM(L$2:L13)/SUM(H$2:H13),"")</f>
        <v/>
      </c>
      <c r="U13" s="2" t="n"/>
      <c r="V13" s="2" t="n"/>
      <c r="AE13">
        <f>IF(ISNUMBER(L13),IF(L13&lt;=-200,1,0),"")</f>
        <v/>
      </c>
      <c r="AG13">
        <f>IF(ISNUMBER(O13),IF(O13&lt;=-300,1,0),"")</f>
        <v/>
      </c>
    </row>
    <row r="14">
      <c r="J14" s="2" t="n"/>
      <c r="K14" s="2">
        <f>IF(ISNUMBER(I14),1.9*I14,"")</f>
        <v/>
      </c>
      <c r="L14" s="2">
        <f>IF(AND(ISNUMBER(J14),ISNUMBER(K14)),J14-K14,"")</f>
        <v/>
      </c>
      <c r="M14" s="2">
        <f>IF(ISNUMBER(L14),IF(ISNUMBER(M13),M13,0)+L14,IF(ISNUMBER(M13),M13,""))</f>
        <v/>
      </c>
      <c r="N14" s="2">
        <f>IF(ISNUMBER(M14),MAX(M$2:M14),"")</f>
        <v/>
      </c>
      <c r="O14" s="2">
        <f>IF(ISNUMBER(M14),M14-N14,"")</f>
        <v/>
      </c>
      <c r="R14" s="3">
        <f>IF(COUNT(L$2:L14)&gt;0,COUNTIF(L$2:L14,"&gt;0")/COUNT(L$2:L14)*100,"")</f>
        <v/>
      </c>
      <c r="S14" s="3">
        <f>IF(SUMIF(L$2:L14,"&lt;0")&lt;0,SUMIF(L$2:L14,"&gt;0")/ABS(SUMIF(L$2:L14,"&lt;0")),"")</f>
        <v/>
      </c>
      <c r="T14" s="2">
        <f>IF(SUM(H$2:H14)&gt;0,SUM(L$2:L14)/SUM(H$2:H14),"")</f>
        <v/>
      </c>
      <c r="U14" s="2" t="n"/>
      <c r="V14" s="2" t="n"/>
      <c r="AE14">
        <f>IF(ISNUMBER(L14),IF(L14&lt;=-200,1,0),"")</f>
        <v/>
      </c>
      <c r="AG14">
        <f>IF(ISNUMBER(O14),IF(O14&lt;=-300,1,0),"")</f>
        <v/>
      </c>
    </row>
    <row r="15">
      <c r="J15" s="2" t="n"/>
      <c r="K15" s="2">
        <f>IF(ISNUMBER(I15),1.9*I15,"")</f>
        <v/>
      </c>
      <c r="L15" s="2">
        <f>IF(AND(ISNUMBER(J15),ISNUMBER(K15)),J15-K15,"")</f>
        <v/>
      </c>
      <c r="M15" s="2">
        <f>IF(ISNUMBER(L15),IF(ISNUMBER(M14),M14,0)+L15,IF(ISNUMBER(M14),M14,""))</f>
        <v/>
      </c>
      <c r="N15" s="2">
        <f>IF(ISNUMBER(M15),MAX(M$2:M15),"")</f>
        <v/>
      </c>
      <c r="O15" s="2">
        <f>IF(ISNUMBER(M15),M15-N15,"")</f>
        <v/>
      </c>
      <c r="R15" s="3">
        <f>IF(COUNT(L$2:L15)&gt;0,COUNTIF(L$2:L15,"&gt;0")/COUNT(L$2:L15)*100,"")</f>
        <v/>
      </c>
      <c r="S15" s="3">
        <f>IF(SUMIF(L$2:L15,"&lt;0")&lt;0,SUMIF(L$2:L15,"&gt;0")/ABS(SUMIF(L$2:L15,"&lt;0")),"")</f>
        <v/>
      </c>
      <c r="T15" s="2">
        <f>IF(SUM(H$2:H15)&gt;0,SUM(L$2:L15)/SUM(H$2:H15),"")</f>
        <v/>
      </c>
      <c r="U15" s="2" t="n"/>
      <c r="V15" s="2" t="n"/>
      <c r="AE15">
        <f>IF(ISNUMBER(L15),IF(L15&lt;=-200,1,0),"")</f>
        <v/>
      </c>
      <c r="AG15">
        <f>IF(ISNUMBER(O15),IF(O15&lt;=-300,1,0),"")</f>
        <v/>
      </c>
    </row>
    <row r="16">
      <c r="J16" s="2" t="n"/>
      <c r="K16" s="2">
        <f>IF(ISNUMBER(I16),1.9*I16,"")</f>
        <v/>
      </c>
      <c r="L16" s="2">
        <f>IF(AND(ISNUMBER(J16),ISNUMBER(K16)),J16-K16,"")</f>
        <v/>
      </c>
      <c r="M16" s="2">
        <f>IF(ISNUMBER(L16),IF(ISNUMBER(M15),M15,0)+L16,IF(ISNUMBER(M15),M15,""))</f>
        <v/>
      </c>
      <c r="N16" s="2">
        <f>IF(ISNUMBER(M16),MAX(M$2:M16),"")</f>
        <v/>
      </c>
      <c r="O16" s="2">
        <f>IF(ISNUMBER(M16),M16-N16,"")</f>
        <v/>
      </c>
      <c r="R16" s="3">
        <f>IF(COUNT(L$2:L16)&gt;0,COUNTIF(L$2:L16,"&gt;0")/COUNT(L$2:L16)*100,"")</f>
        <v/>
      </c>
      <c r="S16" s="3">
        <f>IF(SUMIF(L$2:L16,"&lt;0")&lt;0,SUMIF(L$2:L16,"&gt;0")/ABS(SUMIF(L$2:L16,"&lt;0")),"")</f>
        <v/>
      </c>
      <c r="T16" s="2">
        <f>IF(SUM(H$2:H16)&gt;0,SUM(L$2:L16)/SUM(H$2:H16),"")</f>
        <v/>
      </c>
      <c r="U16" s="2" t="n"/>
      <c r="V16" s="2" t="n"/>
      <c r="AE16">
        <f>IF(ISNUMBER(L16),IF(L16&lt;=-200,1,0),"")</f>
        <v/>
      </c>
      <c r="AG16">
        <f>IF(ISNUMBER(O16),IF(O16&lt;=-300,1,0),"")</f>
        <v/>
      </c>
    </row>
    <row r="17">
      <c r="J17" s="2" t="n"/>
      <c r="K17" s="2">
        <f>IF(ISNUMBER(I17),1.9*I17,"")</f>
        <v/>
      </c>
      <c r="L17" s="2">
        <f>IF(AND(ISNUMBER(J17),ISNUMBER(K17)),J17-K17,"")</f>
        <v/>
      </c>
      <c r="M17" s="2">
        <f>IF(ISNUMBER(L17),IF(ISNUMBER(M16),M16,0)+L17,IF(ISNUMBER(M16),M16,""))</f>
        <v/>
      </c>
      <c r="N17" s="2">
        <f>IF(ISNUMBER(M17),MAX(M$2:M17),"")</f>
        <v/>
      </c>
      <c r="O17" s="2">
        <f>IF(ISNUMBER(M17),M17-N17,"")</f>
        <v/>
      </c>
      <c r="R17" s="3">
        <f>IF(COUNT(L$2:L17)&gt;0,COUNTIF(L$2:L17,"&gt;0")/COUNT(L$2:L17)*100,"")</f>
        <v/>
      </c>
      <c r="S17" s="3">
        <f>IF(SUMIF(L$2:L17,"&lt;0")&lt;0,SUMIF(L$2:L17,"&gt;0")/ABS(SUMIF(L$2:L17,"&lt;0")),"")</f>
        <v/>
      </c>
      <c r="T17" s="2">
        <f>IF(SUM(H$2:H17)&gt;0,SUM(L$2:L17)/SUM(H$2:H17),"")</f>
        <v/>
      </c>
      <c r="U17" s="2" t="n"/>
      <c r="V17" s="2" t="n"/>
      <c r="AE17">
        <f>IF(ISNUMBER(L17),IF(L17&lt;=-200,1,0),"")</f>
        <v/>
      </c>
      <c r="AG17">
        <f>IF(ISNUMBER(O17),IF(O17&lt;=-300,1,0),"")</f>
        <v/>
      </c>
    </row>
    <row r="18">
      <c r="J18" s="2" t="n"/>
      <c r="K18" s="2">
        <f>IF(ISNUMBER(I18),1.9*I18,"")</f>
        <v/>
      </c>
      <c r="L18" s="2">
        <f>IF(AND(ISNUMBER(J18),ISNUMBER(K18)),J18-K18,"")</f>
        <v/>
      </c>
      <c r="M18" s="2">
        <f>IF(ISNUMBER(L18),IF(ISNUMBER(M17),M17,0)+L18,IF(ISNUMBER(M17),M17,""))</f>
        <v/>
      </c>
      <c r="N18" s="2">
        <f>IF(ISNUMBER(M18),MAX(M$2:M18),"")</f>
        <v/>
      </c>
      <c r="O18" s="2">
        <f>IF(ISNUMBER(M18),M18-N18,"")</f>
        <v/>
      </c>
      <c r="R18" s="3">
        <f>IF(COUNT(L$2:L18)&gt;0,COUNTIF(L$2:L18,"&gt;0")/COUNT(L$2:L18)*100,"")</f>
        <v/>
      </c>
      <c r="S18" s="3">
        <f>IF(SUMIF(L$2:L18,"&lt;0")&lt;0,SUMIF(L$2:L18,"&gt;0")/ABS(SUMIF(L$2:L18,"&lt;0")),"")</f>
        <v/>
      </c>
      <c r="T18" s="2">
        <f>IF(SUM(H$2:H18)&gt;0,SUM(L$2:L18)/SUM(H$2:H18),"")</f>
        <v/>
      </c>
      <c r="U18" s="2" t="n"/>
      <c r="V18" s="2" t="n"/>
      <c r="AE18">
        <f>IF(ISNUMBER(L18),IF(L18&lt;=-200,1,0),"")</f>
        <v/>
      </c>
      <c r="AG18">
        <f>IF(ISNUMBER(O18),IF(O18&lt;=-300,1,0),"")</f>
        <v/>
      </c>
    </row>
    <row r="19">
      <c r="J19" s="2" t="n"/>
      <c r="K19" s="2">
        <f>IF(ISNUMBER(I19),1.9*I19,"")</f>
        <v/>
      </c>
      <c r="L19" s="2">
        <f>IF(AND(ISNUMBER(J19),ISNUMBER(K19)),J19-K19,"")</f>
        <v/>
      </c>
      <c r="M19" s="2">
        <f>IF(ISNUMBER(L19),IF(ISNUMBER(M18),M18,0)+L19,IF(ISNUMBER(M18),M18,""))</f>
        <v/>
      </c>
      <c r="N19" s="2">
        <f>IF(ISNUMBER(M19),MAX(M$2:M19),"")</f>
        <v/>
      </c>
      <c r="O19" s="2">
        <f>IF(ISNUMBER(M19),M19-N19,"")</f>
        <v/>
      </c>
      <c r="R19" s="3">
        <f>IF(COUNT(L$2:L19)&gt;0,COUNTIF(L$2:L19,"&gt;0")/COUNT(L$2:L19)*100,"")</f>
        <v/>
      </c>
      <c r="S19" s="3">
        <f>IF(SUMIF(L$2:L19,"&lt;0")&lt;0,SUMIF(L$2:L19,"&gt;0")/ABS(SUMIF(L$2:L19,"&lt;0")),"")</f>
        <v/>
      </c>
      <c r="T19" s="2">
        <f>IF(SUM(H$2:H19)&gt;0,SUM(L$2:L19)/SUM(H$2:H19),"")</f>
        <v/>
      </c>
      <c r="U19" s="2" t="n"/>
      <c r="V19" s="2" t="n"/>
      <c r="AE19">
        <f>IF(ISNUMBER(L19),IF(L19&lt;=-200,1,0),"")</f>
        <v/>
      </c>
      <c r="AG19">
        <f>IF(ISNUMBER(O19),IF(O19&lt;=-300,1,0),"")</f>
        <v/>
      </c>
    </row>
    <row r="20">
      <c r="J20" s="2" t="n"/>
      <c r="K20" s="2">
        <f>IF(ISNUMBER(I20),1.9*I20,"")</f>
        <v/>
      </c>
      <c r="L20" s="2">
        <f>IF(AND(ISNUMBER(J20),ISNUMBER(K20)),J20-K20,"")</f>
        <v/>
      </c>
      <c r="M20" s="2">
        <f>IF(ISNUMBER(L20),IF(ISNUMBER(M19),M19,0)+L20,IF(ISNUMBER(M19),M19,""))</f>
        <v/>
      </c>
      <c r="N20" s="2">
        <f>IF(ISNUMBER(M20),MAX(M$2:M20),"")</f>
        <v/>
      </c>
      <c r="O20" s="2">
        <f>IF(ISNUMBER(M20),M20-N20,"")</f>
        <v/>
      </c>
      <c r="R20" s="3">
        <f>IF(COUNT(L$2:L20)&gt;0,COUNTIF(L$2:L20,"&gt;0")/COUNT(L$2:L20)*100,"")</f>
        <v/>
      </c>
      <c r="S20" s="3">
        <f>IF(SUMIF(L$2:L20,"&lt;0")&lt;0,SUMIF(L$2:L20,"&gt;0")/ABS(SUMIF(L$2:L20,"&lt;0")),"")</f>
        <v/>
      </c>
      <c r="T20" s="2">
        <f>IF(SUM(H$2:H20)&gt;0,SUM(L$2:L20)/SUM(H$2:H20),"")</f>
        <v/>
      </c>
      <c r="U20" s="2" t="n"/>
      <c r="V20" s="2" t="n"/>
      <c r="AE20">
        <f>IF(ISNUMBER(L20),IF(L20&lt;=-200,1,0),"")</f>
        <v/>
      </c>
      <c r="AG20">
        <f>IF(ISNUMBER(O20),IF(O20&lt;=-300,1,0),"")</f>
        <v/>
      </c>
    </row>
    <row r="21">
      <c r="J21" s="2" t="n"/>
      <c r="K21" s="2">
        <f>IF(ISNUMBER(I21),1.9*I21,"")</f>
        <v/>
      </c>
      <c r="L21" s="2">
        <f>IF(AND(ISNUMBER(J21),ISNUMBER(K21)),J21-K21,"")</f>
        <v/>
      </c>
      <c r="M21" s="2">
        <f>IF(ISNUMBER(L21),IF(ISNUMBER(M20),M20,0)+L21,IF(ISNUMBER(M20),M20,""))</f>
        <v/>
      </c>
      <c r="N21" s="2">
        <f>IF(ISNUMBER(M21),MAX(M$2:M21),"")</f>
        <v/>
      </c>
      <c r="O21" s="2">
        <f>IF(ISNUMBER(M21),M21-N21,"")</f>
        <v/>
      </c>
      <c r="R21" s="3">
        <f>IF(COUNT(L$2:L21)&gt;0,COUNTIF(L$2:L21,"&gt;0")/COUNT(L$2:L21)*100,"")</f>
        <v/>
      </c>
      <c r="S21" s="3">
        <f>IF(SUMIF(L$2:L21,"&lt;0")&lt;0,SUMIF(L$2:L21,"&gt;0")/ABS(SUMIF(L$2:L21,"&lt;0")),"")</f>
        <v/>
      </c>
      <c r="T21" s="2">
        <f>IF(SUM(H$2:H21)&gt;0,SUM(L$2:L21)/SUM(H$2:H21),"")</f>
        <v/>
      </c>
      <c r="U21" s="2" t="n"/>
      <c r="V21" s="2" t="n"/>
      <c r="AE21">
        <f>IF(ISNUMBER(L21),IF(L21&lt;=-200,1,0),"")</f>
        <v/>
      </c>
      <c r="AG21">
        <f>IF(ISNUMBER(O21),IF(O21&lt;=-300,1,0),"")</f>
        <v/>
      </c>
    </row>
    <row r="22">
      <c r="J22" s="2" t="n"/>
      <c r="K22" s="2">
        <f>IF(ISNUMBER(I22),1.9*I22,"")</f>
        <v/>
      </c>
      <c r="L22" s="2">
        <f>IF(AND(ISNUMBER(J22),ISNUMBER(K22)),J22-K22,"")</f>
        <v/>
      </c>
      <c r="M22" s="2">
        <f>IF(ISNUMBER(L22),IF(ISNUMBER(M21),M21,0)+L22,IF(ISNUMBER(M21),M21,""))</f>
        <v/>
      </c>
      <c r="N22" s="2">
        <f>IF(ISNUMBER(M22),MAX(M$2:M22),"")</f>
        <v/>
      </c>
      <c r="O22" s="2">
        <f>IF(ISNUMBER(M22),M22-N22,"")</f>
        <v/>
      </c>
      <c r="R22" s="3">
        <f>IF(COUNT(L$2:L22)&gt;0,COUNTIF(L$2:L22,"&gt;0")/COUNT(L$2:L22)*100,"")</f>
        <v/>
      </c>
      <c r="S22" s="3">
        <f>IF(SUMIF(L$2:L22,"&lt;0")&lt;0,SUMIF(L$2:L22,"&gt;0")/ABS(SUMIF(L$2:L22,"&lt;0")),"")</f>
        <v/>
      </c>
      <c r="T22" s="2">
        <f>IF(SUM(H$2:H22)&gt;0,SUM(L$2:L22)/SUM(H$2:H22),"")</f>
        <v/>
      </c>
      <c r="U22" s="2" t="n"/>
      <c r="V22" s="2" t="n"/>
      <c r="AE22">
        <f>IF(ISNUMBER(L22),IF(L22&lt;=-200,1,0),"")</f>
        <v/>
      </c>
      <c r="AG22">
        <f>IF(ISNUMBER(O22),IF(O22&lt;=-300,1,0),"")</f>
        <v/>
      </c>
    </row>
    <row r="23">
      <c r="J23" s="2" t="n"/>
      <c r="K23" s="2">
        <f>IF(ISNUMBER(I23),1.9*I23,"")</f>
        <v/>
      </c>
      <c r="L23" s="2">
        <f>IF(AND(ISNUMBER(J23),ISNUMBER(K23)),J23-K23,"")</f>
        <v/>
      </c>
      <c r="M23" s="2">
        <f>IF(ISNUMBER(L23),IF(ISNUMBER(M22),M22,0)+L23,IF(ISNUMBER(M22),M22,""))</f>
        <v/>
      </c>
      <c r="N23" s="2">
        <f>IF(ISNUMBER(M23),MAX(M$2:M23),"")</f>
        <v/>
      </c>
      <c r="O23" s="2">
        <f>IF(ISNUMBER(M23),M23-N23,"")</f>
        <v/>
      </c>
      <c r="R23" s="3">
        <f>IF(COUNT(L$2:L23)&gt;0,COUNTIF(L$2:L23,"&gt;0")/COUNT(L$2:L23)*100,"")</f>
        <v/>
      </c>
      <c r="S23" s="3">
        <f>IF(SUMIF(L$2:L23,"&lt;0")&lt;0,SUMIF(L$2:L23,"&gt;0")/ABS(SUMIF(L$2:L23,"&lt;0")),"")</f>
        <v/>
      </c>
      <c r="T23" s="2">
        <f>IF(SUM(H$2:H23)&gt;0,SUM(L$2:L23)/SUM(H$2:H23),"")</f>
        <v/>
      </c>
      <c r="U23" s="2" t="n"/>
      <c r="V23" s="2" t="n"/>
      <c r="AE23">
        <f>IF(ISNUMBER(L23),IF(L23&lt;=-200,1,0),"")</f>
        <v/>
      </c>
      <c r="AG23">
        <f>IF(ISNUMBER(O23),IF(O23&lt;=-300,1,0),"")</f>
        <v/>
      </c>
    </row>
    <row r="24">
      <c r="J24" s="2" t="n"/>
      <c r="K24" s="2">
        <f>IF(ISNUMBER(I24),1.9*I24,"")</f>
        <v/>
      </c>
      <c r="L24" s="2">
        <f>IF(AND(ISNUMBER(J24),ISNUMBER(K24)),J24-K24,"")</f>
        <v/>
      </c>
      <c r="M24" s="2">
        <f>IF(ISNUMBER(L24),IF(ISNUMBER(M23),M23,0)+L24,IF(ISNUMBER(M23),M23,""))</f>
        <v/>
      </c>
      <c r="N24" s="2">
        <f>IF(ISNUMBER(M24),MAX(M$2:M24),"")</f>
        <v/>
      </c>
      <c r="O24" s="2">
        <f>IF(ISNUMBER(M24),M24-N24,"")</f>
        <v/>
      </c>
      <c r="R24" s="3">
        <f>IF(COUNT(L$2:L24)&gt;0,COUNTIF(L$2:L24,"&gt;0")/COUNT(L$2:L24)*100,"")</f>
        <v/>
      </c>
      <c r="S24" s="3">
        <f>IF(SUMIF(L$2:L24,"&lt;0")&lt;0,SUMIF(L$2:L24,"&gt;0")/ABS(SUMIF(L$2:L24,"&lt;0")),"")</f>
        <v/>
      </c>
      <c r="T24" s="2">
        <f>IF(SUM(H$2:H24)&gt;0,SUM(L$2:L24)/SUM(H$2:H24),"")</f>
        <v/>
      </c>
      <c r="U24" s="2" t="n"/>
      <c r="V24" s="2" t="n"/>
      <c r="AE24">
        <f>IF(ISNUMBER(L24),IF(L24&lt;=-200,1,0),"")</f>
        <v/>
      </c>
      <c r="AG24">
        <f>IF(ISNUMBER(O24),IF(O24&lt;=-300,1,0),"")</f>
        <v/>
      </c>
    </row>
    <row r="25">
      <c r="J25" s="2" t="n"/>
      <c r="K25" s="2">
        <f>IF(ISNUMBER(I25),1.9*I25,"")</f>
        <v/>
      </c>
      <c r="L25" s="2">
        <f>IF(AND(ISNUMBER(J25),ISNUMBER(K25)),J25-K25,"")</f>
        <v/>
      </c>
      <c r="M25" s="2">
        <f>IF(ISNUMBER(L25),IF(ISNUMBER(M24),M24,0)+L25,IF(ISNUMBER(M24),M24,""))</f>
        <v/>
      </c>
      <c r="N25" s="2">
        <f>IF(ISNUMBER(M25),MAX(M$2:M25),"")</f>
        <v/>
      </c>
      <c r="O25" s="2">
        <f>IF(ISNUMBER(M25),M25-N25,"")</f>
        <v/>
      </c>
      <c r="R25" s="3">
        <f>IF(COUNT(L$2:L25)&gt;0,COUNTIF(L$2:L25,"&gt;0")/COUNT(L$2:L25)*100,"")</f>
        <v/>
      </c>
      <c r="S25" s="3">
        <f>IF(SUMIF(L$2:L25,"&lt;0")&lt;0,SUMIF(L$2:L25,"&gt;0")/ABS(SUMIF(L$2:L25,"&lt;0")),"")</f>
        <v/>
      </c>
      <c r="T25" s="2">
        <f>IF(SUM(H$2:H25)&gt;0,SUM(L$2:L25)/SUM(H$2:H25),"")</f>
        <v/>
      </c>
      <c r="U25" s="2" t="n"/>
      <c r="V25" s="2" t="n"/>
      <c r="AE25">
        <f>IF(ISNUMBER(L25),IF(L25&lt;=-200,1,0),"")</f>
        <v/>
      </c>
      <c r="AG25">
        <f>IF(ISNUMBER(O25),IF(O25&lt;=-300,1,0),"")</f>
        <v/>
      </c>
    </row>
    <row r="26">
      <c r="J26" s="2" t="n"/>
      <c r="K26" s="2">
        <f>IF(ISNUMBER(I26),1.9*I26,"")</f>
        <v/>
      </c>
      <c r="L26" s="2">
        <f>IF(AND(ISNUMBER(J26),ISNUMBER(K26)),J26-K26,"")</f>
        <v/>
      </c>
      <c r="M26" s="2">
        <f>IF(ISNUMBER(L26),IF(ISNUMBER(M25),M25,0)+L26,IF(ISNUMBER(M25),M25,""))</f>
        <v/>
      </c>
      <c r="N26" s="2">
        <f>IF(ISNUMBER(M26),MAX(M$2:M26),"")</f>
        <v/>
      </c>
      <c r="O26" s="2">
        <f>IF(ISNUMBER(M26),M26-N26,"")</f>
        <v/>
      </c>
      <c r="R26" s="3">
        <f>IF(COUNT(L$2:L26)&gt;0,COUNTIF(L$2:L26,"&gt;0")/COUNT(L$2:L26)*100,"")</f>
        <v/>
      </c>
      <c r="S26" s="3">
        <f>IF(SUMIF(L$2:L26,"&lt;0")&lt;0,SUMIF(L$2:L26,"&gt;0")/ABS(SUMIF(L$2:L26,"&lt;0")),"")</f>
        <v/>
      </c>
      <c r="T26" s="2">
        <f>IF(SUM(H$2:H26)&gt;0,SUM(L$2:L26)/SUM(H$2:H26),"")</f>
        <v/>
      </c>
      <c r="U26" s="2" t="n"/>
      <c r="V26" s="2" t="n"/>
      <c r="AE26">
        <f>IF(ISNUMBER(L26),IF(L26&lt;=-200,1,0),"")</f>
        <v/>
      </c>
      <c r="AG26">
        <f>IF(ISNUMBER(O26),IF(O26&lt;=-300,1,0),"")</f>
        <v/>
      </c>
    </row>
    <row r="27">
      <c r="J27" s="2" t="n"/>
      <c r="K27" s="2">
        <f>IF(ISNUMBER(I27),1.9*I27,"")</f>
        <v/>
      </c>
      <c r="L27" s="2">
        <f>IF(AND(ISNUMBER(J27),ISNUMBER(K27)),J27-K27,"")</f>
        <v/>
      </c>
      <c r="M27" s="2">
        <f>IF(ISNUMBER(L27),IF(ISNUMBER(M26),M26,0)+L27,IF(ISNUMBER(M26),M26,""))</f>
        <v/>
      </c>
      <c r="N27" s="2">
        <f>IF(ISNUMBER(M27),MAX(M$2:M27),"")</f>
        <v/>
      </c>
      <c r="O27" s="2">
        <f>IF(ISNUMBER(M27),M27-N27,"")</f>
        <v/>
      </c>
      <c r="R27" s="3">
        <f>IF(COUNT(L$2:L27)&gt;0,COUNTIF(L$2:L27,"&gt;0")/COUNT(L$2:L27)*100,"")</f>
        <v/>
      </c>
      <c r="S27" s="3">
        <f>IF(SUMIF(L$2:L27,"&lt;0")&lt;0,SUMIF(L$2:L27,"&gt;0")/ABS(SUMIF(L$2:L27,"&lt;0")),"")</f>
        <v/>
      </c>
      <c r="T27" s="2">
        <f>IF(SUM(H$2:H27)&gt;0,SUM(L$2:L27)/SUM(H$2:H27),"")</f>
        <v/>
      </c>
      <c r="U27" s="2" t="n"/>
      <c r="V27" s="2" t="n"/>
      <c r="AE27">
        <f>IF(ISNUMBER(L27),IF(L27&lt;=-200,1,0),"")</f>
        <v/>
      </c>
      <c r="AG27">
        <f>IF(ISNUMBER(O27),IF(O27&lt;=-300,1,0),"")</f>
        <v/>
      </c>
    </row>
    <row r="28">
      <c r="J28" s="2" t="n"/>
      <c r="K28" s="2">
        <f>IF(ISNUMBER(I28),1.9*I28,"")</f>
        <v/>
      </c>
      <c r="L28" s="2">
        <f>IF(AND(ISNUMBER(J28),ISNUMBER(K28)),J28-K28,"")</f>
        <v/>
      </c>
      <c r="M28" s="2">
        <f>IF(ISNUMBER(L28),IF(ISNUMBER(M27),M27,0)+L28,IF(ISNUMBER(M27),M27,""))</f>
        <v/>
      </c>
      <c r="N28" s="2">
        <f>IF(ISNUMBER(M28),MAX(M$2:M28),"")</f>
        <v/>
      </c>
      <c r="O28" s="2">
        <f>IF(ISNUMBER(M28),M28-N28,"")</f>
        <v/>
      </c>
      <c r="R28" s="3">
        <f>IF(COUNT(L$2:L28)&gt;0,COUNTIF(L$2:L28,"&gt;0")/COUNT(L$2:L28)*100,"")</f>
        <v/>
      </c>
      <c r="S28" s="3">
        <f>IF(SUMIF(L$2:L28,"&lt;0")&lt;0,SUMIF(L$2:L28,"&gt;0")/ABS(SUMIF(L$2:L28,"&lt;0")),"")</f>
        <v/>
      </c>
      <c r="T28" s="2">
        <f>IF(SUM(H$2:H28)&gt;0,SUM(L$2:L28)/SUM(H$2:H28),"")</f>
        <v/>
      </c>
      <c r="U28" s="2" t="n"/>
      <c r="V28" s="2" t="n"/>
      <c r="AE28">
        <f>IF(ISNUMBER(L28),IF(L28&lt;=-200,1,0),"")</f>
        <v/>
      </c>
      <c r="AG28">
        <f>IF(ISNUMBER(O28),IF(O28&lt;=-300,1,0),"")</f>
        <v/>
      </c>
    </row>
    <row r="29">
      <c r="J29" s="2" t="n"/>
      <c r="K29" s="2">
        <f>IF(ISNUMBER(I29),1.9*I29,"")</f>
        <v/>
      </c>
      <c r="L29" s="2">
        <f>IF(AND(ISNUMBER(J29),ISNUMBER(K29)),J29-K29,"")</f>
        <v/>
      </c>
      <c r="M29" s="2">
        <f>IF(ISNUMBER(L29),IF(ISNUMBER(M28),M28,0)+L29,IF(ISNUMBER(M28),M28,""))</f>
        <v/>
      </c>
      <c r="N29" s="2">
        <f>IF(ISNUMBER(M29),MAX(M$2:M29),"")</f>
        <v/>
      </c>
      <c r="O29" s="2">
        <f>IF(ISNUMBER(M29),M29-N29,"")</f>
        <v/>
      </c>
      <c r="R29" s="3">
        <f>IF(COUNT(L$2:L29)&gt;0,COUNTIF(L$2:L29,"&gt;0")/COUNT(L$2:L29)*100,"")</f>
        <v/>
      </c>
      <c r="S29" s="3">
        <f>IF(SUMIF(L$2:L29,"&lt;0")&lt;0,SUMIF(L$2:L29,"&gt;0")/ABS(SUMIF(L$2:L29,"&lt;0")),"")</f>
        <v/>
      </c>
      <c r="T29" s="2">
        <f>IF(SUM(H$2:H29)&gt;0,SUM(L$2:L29)/SUM(H$2:H29),"")</f>
        <v/>
      </c>
      <c r="U29" s="2" t="n"/>
      <c r="V29" s="2" t="n"/>
      <c r="AE29">
        <f>IF(ISNUMBER(L29),IF(L29&lt;=-200,1,0),"")</f>
        <v/>
      </c>
      <c r="AG29">
        <f>IF(ISNUMBER(O29),IF(O29&lt;=-300,1,0),"")</f>
        <v/>
      </c>
    </row>
    <row r="30">
      <c r="J30" s="2" t="n"/>
      <c r="K30" s="2">
        <f>IF(ISNUMBER(I30),1.9*I30,"")</f>
        <v/>
      </c>
      <c r="L30" s="2">
        <f>IF(AND(ISNUMBER(J30),ISNUMBER(K30)),J30-K30,"")</f>
        <v/>
      </c>
      <c r="M30" s="2">
        <f>IF(ISNUMBER(L30),IF(ISNUMBER(M29),M29,0)+L30,IF(ISNUMBER(M29),M29,""))</f>
        <v/>
      </c>
      <c r="N30" s="2">
        <f>IF(ISNUMBER(M30),MAX(M$2:M30),"")</f>
        <v/>
      </c>
      <c r="O30" s="2">
        <f>IF(ISNUMBER(M30),M30-N30,"")</f>
        <v/>
      </c>
      <c r="R30" s="3">
        <f>IF(COUNT(L$2:L30)&gt;0,COUNTIF(L$2:L30,"&gt;0")/COUNT(L$2:L30)*100,"")</f>
        <v/>
      </c>
      <c r="S30" s="3">
        <f>IF(SUMIF(L$2:L30,"&lt;0")&lt;0,SUMIF(L$2:L30,"&gt;0")/ABS(SUMIF(L$2:L30,"&lt;0")),"")</f>
        <v/>
      </c>
      <c r="T30" s="2">
        <f>IF(SUM(H$2:H30)&gt;0,SUM(L$2:L30)/SUM(H$2:H30),"")</f>
        <v/>
      </c>
      <c r="U30" s="2" t="n"/>
      <c r="V30" s="2" t="n"/>
      <c r="AE30">
        <f>IF(ISNUMBER(L30),IF(L30&lt;=-200,1,0),"")</f>
        <v/>
      </c>
      <c r="AG30">
        <f>IF(ISNUMBER(O30),IF(O30&lt;=-300,1,0),"")</f>
        <v/>
      </c>
    </row>
    <row r="31">
      <c r="J31" s="2" t="n"/>
      <c r="K31" s="2">
        <f>IF(ISNUMBER(I31),1.9*I31,"")</f>
        <v/>
      </c>
      <c r="L31" s="2">
        <f>IF(AND(ISNUMBER(J31),ISNUMBER(K31)),J31-K31,"")</f>
        <v/>
      </c>
      <c r="M31" s="2">
        <f>IF(ISNUMBER(L31),IF(ISNUMBER(M30),M30,0)+L31,IF(ISNUMBER(M30),M30,""))</f>
        <v/>
      </c>
      <c r="N31" s="2">
        <f>IF(ISNUMBER(M31),MAX(M$2:M31),"")</f>
        <v/>
      </c>
      <c r="O31" s="2">
        <f>IF(ISNUMBER(M31),M31-N31,"")</f>
        <v/>
      </c>
      <c r="R31" s="3">
        <f>IF(COUNT(L$2:L31)&gt;0,COUNTIF(L$2:L31,"&gt;0")/COUNT(L$2:L31)*100,"")</f>
        <v/>
      </c>
      <c r="S31" s="3">
        <f>IF(SUMIF(L$2:L31,"&lt;0")&lt;0,SUMIF(L$2:L31,"&gt;0")/ABS(SUMIF(L$2:L31,"&lt;0")),"")</f>
        <v/>
      </c>
      <c r="T31" s="2">
        <f>IF(SUM(H$2:H31)&gt;0,SUM(L$2:L31)/SUM(H$2:H31),"")</f>
        <v/>
      </c>
      <c r="U31" s="2" t="n"/>
      <c r="V31" s="2" t="n"/>
      <c r="AE31">
        <f>IF(ISNUMBER(L31),IF(L31&lt;=-200,1,0),"")</f>
        <v/>
      </c>
      <c r="AG31">
        <f>IF(ISNUMBER(O31),IF(O31&lt;=-300,1,0),"")</f>
        <v/>
      </c>
    </row>
    <row r="32">
      <c r="J32" s="2" t="n"/>
      <c r="K32" s="2">
        <f>IF(ISNUMBER(I32),1.9*I32,"")</f>
        <v/>
      </c>
      <c r="L32" s="2">
        <f>IF(AND(ISNUMBER(J32),ISNUMBER(K32)),J32-K32,"")</f>
        <v/>
      </c>
      <c r="M32" s="2">
        <f>IF(ISNUMBER(L32),IF(ISNUMBER(M31),M31,0)+L32,IF(ISNUMBER(M31),M31,""))</f>
        <v/>
      </c>
      <c r="N32" s="2">
        <f>IF(ISNUMBER(M32),MAX(M$2:M32),"")</f>
        <v/>
      </c>
      <c r="O32" s="2">
        <f>IF(ISNUMBER(M32),M32-N32,"")</f>
        <v/>
      </c>
      <c r="R32" s="3">
        <f>IF(COUNT(L$2:L32)&gt;0,COUNTIF(L$2:L32,"&gt;0")/COUNT(L$2:L32)*100,"")</f>
        <v/>
      </c>
      <c r="S32" s="3">
        <f>IF(SUMIF(L$2:L32,"&lt;0")&lt;0,SUMIF(L$2:L32,"&gt;0")/ABS(SUMIF(L$2:L32,"&lt;0")),"")</f>
        <v/>
      </c>
      <c r="T32" s="2">
        <f>IF(SUM(H$2:H32)&gt;0,SUM(L$2:L32)/SUM(H$2:H32),"")</f>
        <v/>
      </c>
      <c r="U32" s="2" t="n"/>
      <c r="V32" s="2" t="n"/>
      <c r="AE32">
        <f>IF(ISNUMBER(L32),IF(L32&lt;=-200,1,0),"")</f>
        <v/>
      </c>
      <c r="AG32">
        <f>IF(ISNUMBER(O32),IF(O32&lt;=-300,1,0),"")</f>
        <v/>
      </c>
    </row>
    <row r="33">
      <c r="J33" s="2" t="n"/>
      <c r="K33" s="2">
        <f>IF(ISNUMBER(I33),1.9*I33,"")</f>
        <v/>
      </c>
      <c r="L33" s="2">
        <f>IF(AND(ISNUMBER(J33),ISNUMBER(K33)),J33-K33,"")</f>
        <v/>
      </c>
      <c r="M33" s="2">
        <f>IF(ISNUMBER(L33),IF(ISNUMBER(M32),M32,0)+L33,IF(ISNUMBER(M32),M32,""))</f>
        <v/>
      </c>
      <c r="N33" s="2">
        <f>IF(ISNUMBER(M33),MAX(M$2:M33),"")</f>
        <v/>
      </c>
      <c r="O33" s="2">
        <f>IF(ISNUMBER(M33),M33-N33,"")</f>
        <v/>
      </c>
      <c r="R33" s="3">
        <f>IF(COUNT(L$2:L33)&gt;0,COUNTIF(L$2:L33,"&gt;0")/COUNT(L$2:L33)*100,"")</f>
        <v/>
      </c>
      <c r="S33" s="3">
        <f>IF(SUMIF(L$2:L33,"&lt;0")&lt;0,SUMIF(L$2:L33,"&gt;0")/ABS(SUMIF(L$2:L33,"&lt;0")),"")</f>
        <v/>
      </c>
      <c r="T33" s="2">
        <f>IF(SUM(H$2:H33)&gt;0,SUM(L$2:L33)/SUM(H$2:H33),"")</f>
        <v/>
      </c>
      <c r="U33" s="2" t="n"/>
      <c r="V33" s="2" t="n"/>
      <c r="AE33">
        <f>IF(ISNUMBER(L33),IF(L33&lt;=-200,1,0),"")</f>
        <v/>
      </c>
      <c r="AG33">
        <f>IF(ISNUMBER(O33),IF(O33&lt;=-300,1,0),"")</f>
        <v/>
      </c>
    </row>
    <row r="34">
      <c r="J34" s="2" t="n"/>
      <c r="K34" s="2">
        <f>IF(ISNUMBER(I34),1.9*I34,"")</f>
        <v/>
      </c>
      <c r="L34" s="2">
        <f>IF(AND(ISNUMBER(J34),ISNUMBER(K34)),J34-K34,"")</f>
        <v/>
      </c>
      <c r="M34" s="2">
        <f>IF(ISNUMBER(L34),IF(ISNUMBER(M33),M33,0)+L34,IF(ISNUMBER(M33),M33,""))</f>
        <v/>
      </c>
      <c r="N34" s="2">
        <f>IF(ISNUMBER(M34),MAX(M$2:M34),"")</f>
        <v/>
      </c>
      <c r="O34" s="2">
        <f>IF(ISNUMBER(M34),M34-N34,"")</f>
        <v/>
      </c>
      <c r="R34" s="3">
        <f>IF(COUNT(L$2:L34)&gt;0,COUNTIF(L$2:L34,"&gt;0")/COUNT(L$2:L34)*100,"")</f>
        <v/>
      </c>
      <c r="S34" s="3">
        <f>IF(SUMIF(L$2:L34,"&lt;0")&lt;0,SUMIF(L$2:L34,"&gt;0")/ABS(SUMIF(L$2:L34,"&lt;0")),"")</f>
        <v/>
      </c>
      <c r="T34" s="2">
        <f>IF(SUM(H$2:H34)&gt;0,SUM(L$2:L34)/SUM(H$2:H34),"")</f>
        <v/>
      </c>
      <c r="U34" s="2" t="n"/>
      <c r="V34" s="2" t="n"/>
      <c r="AE34">
        <f>IF(ISNUMBER(L34),IF(L34&lt;=-200,1,0),"")</f>
        <v/>
      </c>
      <c r="AG34">
        <f>IF(ISNUMBER(O34),IF(O34&lt;=-300,1,0),"")</f>
        <v/>
      </c>
    </row>
    <row r="35">
      <c r="J35" s="2" t="n"/>
      <c r="K35" s="2">
        <f>IF(ISNUMBER(I35),1.9*I35,"")</f>
        <v/>
      </c>
      <c r="L35" s="2">
        <f>IF(AND(ISNUMBER(J35),ISNUMBER(K35)),J35-K35,"")</f>
        <v/>
      </c>
      <c r="M35" s="2">
        <f>IF(ISNUMBER(L35),IF(ISNUMBER(M34),M34,0)+L35,IF(ISNUMBER(M34),M34,""))</f>
        <v/>
      </c>
      <c r="N35" s="2">
        <f>IF(ISNUMBER(M35),MAX(M$2:M35),"")</f>
        <v/>
      </c>
      <c r="O35" s="2">
        <f>IF(ISNUMBER(M35),M35-N35,"")</f>
        <v/>
      </c>
      <c r="R35" s="3">
        <f>IF(COUNT(L$2:L35)&gt;0,COUNTIF(L$2:L35,"&gt;0")/COUNT(L$2:L35)*100,"")</f>
        <v/>
      </c>
      <c r="S35" s="3">
        <f>IF(SUMIF(L$2:L35,"&lt;0")&lt;0,SUMIF(L$2:L35,"&gt;0")/ABS(SUMIF(L$2:L35,"&lt;0")),"")</f>
        <v/>
      </c>
      <c r="T35" s="2">
        <f>IF(SUM(H$2:H35)&gt;0,SUM(L$2:L35)/SUM(H$2:H35),"")</f>
        <v/>
      </c>
      <c r="U35" s="2" t="n"/>
      <c r="V35" s="2" t="n"/>
      <c r="AE35">
        <f>IF(ISNUMBER(L35),IF(L35&lt;=-200,1,0),"")</f>
        <v/>
      </c>
      <c r="AG35">
        <f>IF(ISNUMBER(O35),IF(O35&lt;=-300,1,0),"")</f>
        <v/>
      </c>
    </row>
    <row r="36">
      <c r="J36" s="2" t="n"/>
      <c r="K36" s="2">
        <f>IF(ISNUMBER(I36),1.9*I36,"")</f>
        <v/>
      </c>
      <c r="L36" s="2">
        <f>IF(AND(ISNUMBER(J36),ISNUMBER(K36)),J36-K36,"")</f>
        <v/>
      </c>
      <c r="M36" s="2">
        <f>IF(ISNUMBER(L36),IF(ISNUMBER(M35),M35,0)+L36,IF(ISNUMBER(M35),M35,""))</f>
        <v/>
      </c>
      <c r="N36" s="2">
        <f>IF(ISNUMBER(M36),MAX(M$2:M36),"")</f>
        <v/>
      </c>
      <c r="O36" s="2">
        <f>IF(ISNUMBER(M36),M36-N36,"")</f>
        <v/>
      </c>
      <c r="R36" s="3">
        <f>IF(COUNT(L$2:L36)&gt;0,COUNTIF(L$2:L36,"&gt;0")/COUNT(L$2:L36)*100,"")</f>
        <v/>
      </c>
      <c r="S36" s="3">
        <f>IF(SUMIF(L$2:L36,"&lt;0")&lt;0,SUMIF(L$2:L36,"&gt;0")/ABS(SUMIF(L$2:L36,"&lt;0")),"")</f>
        <v/>
      </c>
      <c r="T36" s="2">
        <f>IF(SUM(H$2:H36)&gt;0,SUM(L$2:L36)/SUM(H$2:H36),"")</f>
        <v/>
      </c>
      <c r="U36" s="2" t="n"/>
      <c r="V36" s="2" t="n"/>
      <c r="AE36">
        <f>IF(ISNUMBER(L36),IF(L36&lt;=-200,1,0),"")</f>
        <v/>
      </c>
      <c r="AG36">
        <f>IF(ISNUMBER(O36),IF(O36&lt;=-300,1,0),"")</f>
        <v/>
      </c>
    </row>
    <row r="37">
      <c r="J37" s="2" t="n"/>
      <c r="K37" s="2">
        <f>IF(ISNUMBER(I37),1.9*I37,"")</f>
        <v/>
      </c>
      <c r="L37" s="2">
        <f>IF(AND(ISNUMBER(J37),ISNUMBER(K37)),J37-K37,"")</f>
        <v/>
      </c>
      <c r="M37" s="2">
        <f>IF(ISNUMBER(L37),IF(ISNUMBER(M36),M36,0)+L37,IF(ISNUMBER(M36),M36,""))</f>
        <v/>
      </c>
      <c r="N37" s="2">
        <f>IF(ISNUMBER(M37),MAX(M$2:M37),"")</f>
        <v/>
      </c>
      <c r="O37" s="2">
        <f>IF(ISNUMBER(M37),M37-N37,"")</f>
        <v/>
      </c>
      <c r="R37" s="3">
        <f>IF(COUNT(L$2:L37)&gt;0,COUNTIF(L$2:L37,"&gt;0")/COUNT(L$2:L37)*100,"")</f>
        <v/>
      </c>
      <c r="S37" s="3">
        <f>IF(SUMIF(L$2:L37,"&lt;0")&lt;0,SUMIF(L$2:L37,"&gt;0")/ABS(SUMIF(L$2:L37,"&lt;0")),"")</f>
        <v/>
      </c>
      <c r="T37" s="2">
        <f>IF(SUM(H$2:H37)&gt;0,SUM(L$2:L37)/SUM(H$2:H37),"")</f>
        <v/>
      </c>
      <c r="U37" s="2" t="n"/>
      <c r="V37" s="2" t="n"/>
      <c r="AE37">
        <f>IF(ISNUMBER(L37),IF(L37&lt;=-200,1,0),"")</f>
        <v/>
      </c>
      <c r="AG37">
        <f>IF(ISNUMBER(O37),IF(O37&lt;=-300,1,0),"")</f>
        <v/>
      </c>
    </row>
    <row r="38">
      <c r="J38" s="2" t="n"/>
      <c r="K38" s="2">
        <f>IF(ISNUMBER(I38),1.9*I38,"")</f>
        <v/>
      </c>
      <c r="L38" s="2">
        <f>IF(AND(ISNUMBER(J38),ISNUMBER(K38)),J38-K38,"")</f>
        <v/>
      </c>
      <c r="M38" s="2">
        <f>IF(ISNUMBER(L38),IF(ISNUMBER(M37),M37,0)+L38,IF(ISNUMBER(M37),M37,""))</f>
        <v/>
      </c>
      <c r="N38" s="2">
        <f>IF(ISNUMBER(M38),MAX(M$2:M38),"")</f>
        <v/>
      </c>
      <c r="O38" s="2">
        <f>IF(ISNUMBER(M38),M38-N38,"")</f>
        <v/>
      </c>
      <c r="R38" s="3">
        <f>IF(COUNT(L$2:L38)&gt;0,COUNTIF(L$2:L38,"&gt;0")/COUNT(L$2:L38)*100,"")</f>
        <v/>
      </c>
      <c r="S38" s="3">
        <f>IF(SUMIF(L$2:L38,"&lt;0")&lt;0,SUMIF(L$2:L38,"&gt;0")/ABS(SUMIF(L$2:L38,"&lt;0")),"")</f>
        <v/>
      </c>
      <c r="T38" s="2">
        <f>IF(SUM(H$2:H38)&gt;0,SUM(L$2:L38)/SUM(H$2:H38),"")</f>
        <v/>
      </c>
      <c r="U38" s="2" t="n"/>
      <c r="V38" s="2" t="n"/>
      <c r="AE38">
        <f>IF(ISNUMBER(L38),IF(L38&lt;=-200,1,0),"")</f>
        <v/>
      </c>
      <c r="AG38">
        <f>IF(ISNUMBER(O38),IF(O38&lt;=-300,1,0),"")</f>
        <v/>
      </c>
    </row>
    <row r="39">
      <c r="J39" s="2" t="n"/>
      <c r="K39" s="2">
        <f>IF(ISNUMBER(I39),1.9*I39,"")</f>
        <v/>
      </c>
      <c r="L39" s="2">
        <f>IF(AND(ISNUMBER(J39),ISNUMBER(K39)),J39-K39,"")</f>
        <v/>
      </c>
      <c r="M39" s="2">
        <f>IF(ISNUMBER(L39),IF(ISNUMBER(M38),M38,0)+L39,IF(ISNUMBER(M38),M38,""))</f>
        <v/>
      </c>
      <c r="N39" s="2">
        <f>IF(ISNUMBER(M39),MAX(M$2:M39),"")</f>
        <v/>
      </c>
      <c r="O39" s="2">
        <f>IF(ISNUMBER(M39),M39-N39,"")</f>
        <v/>
      </c>
      <c r="R39" s="3">
        <f>IF(COUNT(L$2:L39)&gt;0,COUNTIF(L$2:L39,"&gt;0")/COUNT(L$2:L39)*100,"")</f>
        <v/>
      </c>
      <c r="S39" s="3">
        <f>IF(SUMIF(L$2:L39,"&lt;0")&lt;0,SUMIF(L$2:L39,"&gt;0")/ABS(SUMIF(L$2:L39,"&lt;0")),"")</f>
        <v/>
      </c>
      <c r="T39" s="2">
        <f>IF(SUM(H$2:H39)&gt;0,SUM(L$2:L39)/SUM(H$2:H39),"")</f>
        <v/>
      </c>
      <c r="U39" s="2" t="n"/>
      <c r="V39" s="2" t="n"/>
      <c r="AE39">
        <f>IF(ISNUMBER(L39),IF(L39&lt;=-200,1,0),"")</f>
        <v/>
      </c>
      <c r="AG39">
        <f>IF(ISNUMBER(O39),IF(O39&lt;=-300,1,0),"")</f>
        <v/>
      </c>
    </row>
    <row r="40">
      <c r="J40" s="2" t="n"/>
      <c r="K40" s="2">
        <f>IF(ISNUMBER(I40),1.9*I40,"")</f>
        <v/>
      </c>
      <c r="L40" s="2">
        <f>IF(AND(ISNUMBER(J40),ISNUMBER(K40)),J40-K40,"")</f>
        <v/>
      </c>
      <c r="M40" s="2">
        <f>IF(ISNUMBER(L40),IF(ISNUMBER(M39),M39,0)+L40,IF(ISNUMBER(M39),M39,""))</f>
        <v/>
      </c>
      <c r="N40" s="2">
        <f>IF(ISNUMBER(M40),MAX(M$2:M40),"")</f>
        <v/>
      </c>
      <c r="O40" s="2">
        <f>IF(ISNUMBER(M40),M40-N40,"")</f>
        <v/>
      </c>
      <c r="R40" s="3">
        <f>IF(COUNT(L$2:L40)&gt;0,COUNTIF(L$2:L40,"&gt;0")/COUNT(L$2:L40)*100,"")</f>
        <v/>
      </c>
      <c r="S40" s="3">
        <f>IF(SUMIF(L$2:L40,"&lt;0")&lt;0,SUMIF(L$2:L40,"&gt;0")/ABS(SUMIF(L$2:L40,"&lt;0")),"")</f>
        <v/>
      </c>
      <c r="T40" s="2">
        <f>IF(SUM(H$2:H40)&gt;0,SUM(L$2:L40)/SUM(H$2:H40),"")</f>
        <v/>
      </c>
      <c r="U40" s="2" t="n"/>
      <c r="V40" s="2" t="n"/>
      <c r="AE40">
        <f>IF(ISNUMBER(L40),IF(L40&lt;=-200,1,0),"")</f>
        <v/>
      </c>
      <c r="AG40">
        <f>IF(ISNUMBER(O40),IF(O40&lt;=-300,1,0),"")</f>
        <v/>
      </c>
    </row>
    <row r="41">
      <c r="J41" s="2" t="n"/>
      <c r="K41" s="2">
        <f>IF(ISNUMBER(I41),1.9*I41,"")</f>
        <v/>
      </c>
      <c r="L41" s="2">
        <f>IF(AND(ISNUMBER(J41),ISNUMBER(K41)),J41-K41,"")</f>
        <v/>
      </c>
      <c r="M41" s="2">
        <f>IF(ISNUMBER(L41),IF(ISNUMBER(M40),M40,0)+L41,IF(ISNUMBER(M40),M40,""))</f>
        <v/>
      </c>
      <c r="N41" s="2">
        <f>IF(ISNUMBER(M41),MAX(M$2:M41),"")</f>
        <v/>
      </c>
      <c r="O41" s="2">
        <f>IF(ISNUMBER(M41),M41-N41,"")</f>
        <v/>
      </c>
      <c r="R41" s="3">
        <f>IF(COUNT(L$2:L41)&gt;0,COUNTIF(L$2:L41,"&gt;0")/COUNT(L$2:L41)*100,"")</f>
        <v/>
      </c>
      <c r="S41" s="3">
        <f>IF(SUMIF(L$2:L41,"&lt;0")&lt;0,SUMIF(L$2:L41,"&gt;0")/ABS(SUMIF(L$2:L41,"&lt;0")),"")</f>
        <v/>
      </c>
      <c r="T41" s="2">
        <f>IF(SUM(H$2:H41)&gt;0,SUM(L$2:L41)/SUM(H$2:H41),"")</f>
        <v/>
      </c>
      <c r="U41" s="2" t="n"/>
      <c r="V41" s="2" t="n"/>
      <c r="AE41">
        <f>IF(ISNUMBER(L41),IF(L41&lt;=-200,1,0),"")</f>
        <v/>
      </c>
      <c r="AG41">
        <f>IF(ISNUMBER(O41),IF(O41&lt;=-300,1,0),"")</f>
        <v/>
      </c>
    </row>
    <row r="42">
      <c r="J42" s="2" t="n"/>
      <c r="K42" s="2">
        <f>IF(ISNUMBER(I42),1.9*I42,"")</f>
        <v/>
      </c>
      <c r="L42" s="2">
        <f>IF(AND(ISNUMBER(J42),ISNUMBER(K42)),J42-K42,"")</f>
        <v/>
      </c>
      <c r="M42" s="2">
        <f>IF(ISNUMBER(L42),IF(ISNUMBER(M41),M41,0)+L42,IF(ISNUMBER(M41),M41,""))</f>
        <v/>
      </c>
      <c r="N42" s="2">
        <f>IF(ISNUMBER(M42),MAX(M$2:M42),"")</f>
        <v/>
      </c>
      <c r="O42" s="2">
        <f>IF(ISNUMBER(M42),M42-N42,"")</f>
        <v/>
      </c>
      <c r="R42" s="3">
        <f>IF(COUNT(L$2:L42)&gt;0,COUNTIF(L$2:L42,"&gt;0")/COUNT(L$2:L42)*100,"")</f>
        <v/>
      </c>
      <c r="S42" s="3">
        <f>IF(SUMIF(L$2:L42,"&lt;0")&lt;0,SUMIF(L$2:L42,"&gt;0")/ABS(SUMIF(L$2:L42,"&lt;0")),"")</f>
        <v/>
      </c>
      <c r="T42" s="2">
        <f>IF(SUM(H$2:H42)&gt;0,SUM(L$2:L42)/SUM(H$2:H42),"")</f>
        <v/>
      </c>
      <c r="U42" s="2" t="n"/>
      <c r="V42" s="2" t="n"/>
      <c r="AE42">
        <f>IF(ISNUMBER(L42),IF(L42&lt;=-200,1,0),"")</f>
        <v/>
      </c>
      <c r="AG42">
        <f>IF(ISNUMBER(O42),IF(O42&lt;=-300,1,0),"")</f>
        <v/>
      </c>
    </row>
    <row r="43">
      <c r="J43" s="2" t="n"/>
      <c r="K43" s="2">
        <f>IF(ISNUMBER(I43),1.9*I43,"")</f>
        <v/>
      </c>
      <c r="L43" s="2">
        <f>IF(AND(ISNUMBER(J43),ISNUMBER(K43)),J43-K43,"")</f>
        <v/>
      </c>
      <c r="M43" s="2">
        <f>IF(ISNUMBER(L43),IF(ISNUMBER(M42),M42,0)+L43,IF(ISNUMBER(M42),M42,""))</f>
        <v/>
      </c>
      <c r="N43" s="2">
        <f>IF(ISNUMBER(M43),MAX(M$2:M43),"")</f>
        <v/>
      </c>
      <c r="O43" s="2">
        <f>IF(ISNUMBER(M43),M43-N43,"")</f>
        <v/>
      </c>
      <c r="R43" s="3">
        <f>IF(COUNT(L$2:L43)&gt;0,COUNTIF(L$2:L43,"&gt;0")/COUNT(L$2:L43)*100,"")</f>
        <v/>
      </c>
      <c r="S43" s="3">
        <f>IF(SUMIF(L$2:L43,"&lt;0")&lt;0,SUMIF(L$2:L43,"&gt;0")/ABS(SUMIF(L$2:L43,"&lt;0")),"")</f>
        <v/>
      </c>
      <c r="T43" s="2">
        <f>IF(SUM(H$2:H43)&gt;0,SUM(L$2:L43)/SUM(H$2:H43),"")</f>
        <v/>
      </c>
      <c r="U43" s="2" t="n"/>
      <c r="V43" s="2" t="n"/>
      <c r="AE43">
        <f>IF(ISNUMBER(L43),IF(L43&lt;=-200,1,0),"")</f>
        <v/>
      </c>
      <c r="AG43">
        <f>IF(ISNUMBER(O43),IF(O43&lt;=-300,1,0),"")</f>
        <v/>
      </c>
    </row>
    <row r="44">
      <c r="J44" s="2" t="n"/>
      <c r="K44" s="2">
        <f>IF(ISNUMBER(I44),1.9*I44,"")</f>
        <v/>
      </c>
      <c r="L44" s="2">
        <f>IF(AND(ISNUMBER(J44),ISNUMBER(K44)),J44-K44,"")</f>
        <v/>
      </c>
      <c r="M44" s="2">
        <f>IF(ISNUMBER(L44),IF(ISNUMBER(M43),M43,0)+L44,IF(ISNUMBER(M43),M43,""))</f>
        <v/>
      </c>
      <c r="N44" s="2">
        <f>IF(ISNUMBER(M44),MAX(M$2:M44),"")</f>
        <v/>
      </c>
      <c r="O44" s="2">
        <f>IF(ISNUMBER(M44),M44-N44,"")</f>
        <v/>
      </c>
      <c r="R44" s="3">
        <f>IF(COUNT(L$2:L44)&gt;0,COUNTIF(L$2:L44,"&gt;0")/COUNT(L$2:L44)*100,"")</f>
        <v/>
      </c>
      <c r="S44" s="3">
        <f>IF(SUMIF(L$2:L44,"&lt;0")&lt;0,SUMIF(L$2:L44,"&gt;0")/ABS(SUMIF(L$2:L44,"&lt;0")),"")</f>
        <v/>
      </c>
      <c r="T44" s="2">
        <f>IF(SUM(H$2:H44)&gt;0,SUM(L$2:L44)/SUM(H$2:H44),"")</f>
        <v/>
      </c>
      <c r="U44" s="2" t="n"/>
      <c r="V44" s="2" t="n"/>
      <c r="AE44">
        <f>IF(ISNUMBER(L44),IF(L44&lt;=-200,1,0),"")</f>
        <v/>
      </c>
      <c r="AG44">
        <f>IF(ISNUMBER(O44),IF(O44&lt;=-300,1,0),"")</f>
        <v/>
      </c>
    </row>
    <row r="45">
      <c r="J45" s="2" t="n"/>
      <c r="K45" s="2">
        <f>IF(ISNUMBER(I45),1.9*I45,"")</f>
        <v/>
      </c>
      <c r="L45" s="2">
        <f>IF(AND(ISNUMBER(J45),ISNUMBER(K45)),J45-K45,"")</f>
        <v/>
      </c>
      <c r="M45" s="2">
        <f>IF(ISNUMBER(L45),IF(ISNUMBER(M44),M44,0)+L45,IF(ISNUMBER(M44),M44,""))</f>
        <v/>
      </c>
      <c r="N45" s="2">
        <f>IF(ISNUMBER(M45),MAX(M$2:M45),"")</f>
        <v/>
      </c>
      <c r="O45" s="2">
        <f>IF(ISNUMBER(M45),M45-N45,"")</f>
        <v/>
      </c>
      <c r="R45" s="3">
        <f>IF(COUNT(L$2:L45)&gt;0,COUNTIF(L$2:L45,"&gt;0")/COUNT(L$2:L45)*100,"")</f>
        <v/>
      </c>
      <c r="S45" s="3">
        <f>IF(SUMIF(L$2:L45,"&lt;0")&lt;0,SUMIF(L$2:L45,"&gt;0")/ABS(SUMIF(L$2:L45,"&lt;0")),"")</f>
        <v/>
      </c>
      <c r="T45" s="2">
        <f>IF(SUM(H$2:H45)&gt;0,SUM(L$2:L45)/SUM(H$2:H45),"")</f>
        <v/>
      </c>
      <c r="U45" s="2" t="n"/>
      <c r="V45" s="2" t="n"/>
      <c r="AE45">
        <f>IF(ISNUMBER(L45),IF(L45&lt;=-200,1,0),"")</f>
        <v/>
      </c>
      <c r="AG45">
        <f>IF(ISNUMBER(O45),IF(O45&lt;=-300,1,0),"")</f>
        <v/>
      </c>
    </row>
    <row r="46">
      <c r="J46" s="2" t="n"/>
      <c r="K46" s="2">
        <f>IF(ISNUMBER(I46),1.9*I46,"")</f>
        <v/>
      </c>
      <c r="L46" s="2">
        <f>IF(AND(ISNUMBER(J46),ISNUMBER(K46)),J46-K46,"")</f>
        <v/>
      </c>
      <c r="M46" s="2">
        <f>IF(ISNUMBER(L46),IF(ISNUMBER(M45),M45,0)+L46,IF(ISNUMBER(M45),M45,""))</f>
        <v/>
      </c>
      <c r="N46" s="2">
        <f>IF(ISNUMBER(M46),MAX(M$2:M46),"")</f>
        <v/>
      </c>
      <c r="O46" s="2">
        <f>IF(ISNUMBER(M46),M46-N46,"")</f>
        <v/>
      </c>
      <c r="R46" s="3">
        <f>IF(COUNT(L$2:L46)&gt;0,COUNTIF(L$2:L46,"&gt;0")/COUNT(L$2:L46)*100,"")</f>
        <v/>
      </c>
      <c r="S46" s="3">
        <f>IF(SUMIF(L$2:L46,"&lt;0")&lt;0,SUMIF(L$2:L46,"&gt;0")/ABS(SUMIF(L$2:L46,"&lt;0")),"")</f>
        <v/>
      </c>
      <c r="T46" s="2">
        <f>IF(SUM(H$2:H46)&gt;0,SUM(L$2:L46)/SUM(H$2:H46),"")</f>
        <v/>
      </c>
      <c r="U46" s="2" t="n"/>
      <c r="V46" s="2" t="n"/>
      <c r="AE46">
        <f>IF(ISNUMBER(L46),IF(L46&lt;=-200,1,0),"")</f>
        <v/>
      </c>
      <c r="AG46">
        <f>IF(ISNUMBER(O46),IF(O46&lt;=-300,1,0),"")</f>
        <v/>
      </c>
    </row>
    <row r="47">
      <c r="J47" s="2" t="n"/>
      <c r="K47" s="2">
        <f>IF(ISNUMBER(I47),1.9*I47,"")</f>
        <v/>
      </c>
      <c r="L47" s="2">
        <f>IF(AND(ISNUMBER(J47),ISNUMBER(K47)),J47-K47,"")</f>
        <v/>
      </c>
      <c r="M47" s="2">
        <f>IF(ISNUMBER(L47),IF(ISNUMBER(M46),M46,0)+L47,IF(ISNUMBER(M46),M46,""))</f>
        <v/>
      </c>
      <c r="N47" s="2">
        <f>IF(ISNUMBER(M47),MAX(M$2:M47),"")</f>
        <v/>
      </c>
      <c r="O47" s="2">
        <f>IF(ISNUMBER(M47),M47-N47,"")</f>
        <v/>
      </c>
      <c r="R47" s="3">
        <f>IF(COUNT(L$2:L47)&gt;0,COUNTIF(L$2:L47,"&gt;0")/COUNT(L$2:L47)*100,"")</f>
        <v/>
      </c>
      <c r="S47" s="3">
        <f>IF(SUMIF(L$2:L47,"&lt;0")&lt;0,SUMIF(L$2:L47,"&gt;0")/ABS(SUMIF(L$2:L47,"&lt;0")),"")</f>
        <v/>
      </c>
      <c r="T47" s="2">
        <f>IF(SUM(H$2:H47)&gt;0,SUM(L$2:L47)/SUM(H$2:H47),"")</f>
        <v/>
      </c>
      <c r="U47" s="2" t="n"/>
      <c r="V47" s="2" t="n"/>
      <c r="AE47">
        <f>IF(ISNUMBER(L47),IF(L47&lt;=-200,1,0),"")</f>
        <v/>
      </c>
      <c r="AG47">
        <f>IF(ISNUMBER(O47),IF(O47&lt;=-300,1,0),"")</f>
        <v/>
      </c>
    </row>
    <row r="48">
      <c r="J48" s="2" t="n"/>
      <c r="K48" s="2">
        <f>IF(ISNUMBER(I48),1.9*I48,"")</f>
        <v/>
      </c>
      <c r="L48" s="2">
        <f>IF(AND(ISNUMBER(J48),ISNUMBER(K48)),J48-K48,"")</f>
        <v/>
      </c>
      <c r="M48" s="2">
        <f>IF(ISNUMBER(L48),IF(ISNUMBER(M47),M47,0)+L48,IF(ISNUMBER(M47),M47,""))</f>
        <v/>
      </c>
      <c r="N48" s="2">
        <f>IF(ISNUMBER(M48),MAX(M$2:M48),"")</f>
        <v/>
      </c>
      <c r="O48" s="2">
        <f>IF(ISNUMBER(M48),M48-N48,"")</f>
        <v/>
      </c>
      <c r="R48" s="3">
        <f>IF(COUNT(L$2:L48)&gt;0,COUNTIF(L$2:L48,"&gt;0")/COUNT(L$2:L48)*100,"")</f>
        <v/>
      </c>
      <c r="S48" s="3">
        <f>IF(SUMIF(L$2:L48,"&lt;0")&lt;0,SUMIF(L$2:L48,"&gt;0")/ABS(SUMIF(L$2:L48,"&lt;0")),"")</f>
        <v/>
      </c>
      <c r="T48" s="2">
        <f>IF(SUM(H$2:H48)&gt;0,SUM(L$2:L48)/SUM(H$2:H48),"")</f>
        <v/>
      </c>
      <c r="U48" s="2" t="n"/>
      <c r="V48" s="2" t="n"/>
      <c r="AE48">
        <f>IF(ISNUMBER(L48),IF(L48&lt;=-200,1,0),"")</f>
        <v/>
      </c>
      <c r="AG48">
        <f>IF(ISNUMBER(O48),IF(O48&lt;=-300,1,0),"")</f>
        <v/>
      </c>
    </row>
    <row r="49">
      <c r="J49" s="2" t="n"/>
      <c r="K49" s="2">
        <f>IF(ISNUMBER(I49),1.9*I49,"")</f>
        <v/>
      </c>
      <c r="L49" s="2">
        <f>IF(AND(ISNUMBER(J49),ISNUMBER(K49)),J49-K49,"")</f>
        <v/>
      </c>
      <c r="M49" s="2">
        <f>IF(ISNUMBER(L49),IF(ISNUMBER(M48),M48,0)+L49,IF(ISNUMBER(M48),M48,""))</f>
        <v/>
      </c>
      <c r="N49" s="2">
        <f>IF(ISNUMBER(M49),MAX(M$2:M49),"")</f>
        <v/>
      </c>
      <c r="O49" s="2">
        <f>IF(ISNUMBER(M49),M49-N49,"")</f>
        <v/>
      </c>
      <c r="R49" s="3">
        <f>IF(COUNT(L$2:L49)&gt;0,COUNTIF(L$2:L49,"&gt;0")/COUNT(L$2:L49)*100,"")</f>
        <v/>
      </c>
      <c r="S49" s="3">
        <f>IF(SUMIF(L$2:L49,"&lt;0")&lt;0,SUMIF(L$2:L49,"&gt;0")/ABS(SUMIF(L$2:L49,"&lt;0")),"")</f>
        <v/>
      </c>
      <c r="T49" s="2">
        <f>IF(SUM(H$2:H49)&gt;0,SUM(L$2:L49)/SUM(H$2:H49),"")</f>
        <v/>
      </c>
      <c r="U49" s="2" t="n"/>
      <c r="V49" s="2" t="n"/>
      <c r="AE49">
        <f>IF(ISNUMBER(L49),IF(L49&lt;=-200,1,0),"")</f>
        <v/>
      </c>
      <c r="AG49">
        <f>IF(ISNUMBER(O49),IF(O49&lt;=-300,1,0),"")</f>
        <v/>
      </c>
    </row>
    <row r="50">
      <c r="J50" s="2" t="n"/>
      <c r="K50" s="2">
        <f>IF(ISNUMBER(I50),1.9*I50,"")</f>
        <v/>
      </c>
      <c r="L50" s="2">
        <f>IF(AND(ISNUMBER(J50),ISNUMBER(K50)),J50-K50,"")</f>
        <v/>
      </c>
      <c r="M50" s="2">
        <f>IF(ISNUMBER(L50),IF(ISNUMBER(M49),M49,0)+L50,IF(ISNUMBER(M49),M49,""))</f>
        <v/>
      </c>
      <c r="N50" s="2">
        <f>IF(ISNUMBER(M50),MAX(M$2:M50),"")</f>
        <v/>
      </c>
      <c r="O50" s="2">
        <f>IF(ISNUMBER(M50),M50-N50,"")</f>
        <v/>
      </c>
      <c r="R50" s="3">
        <f>IF(COUNT(L$2:L50)&gt;0,COUNTIF(L$2:L50,"&gt;0")/COUNT(L$2:L50)*100,"")</f>
        <v/>
      </c>
      <c r="S50" s="3">
        <f>IF(SUMIF(L$2:L50,"&lt;0")&lt;0,SUMIF(L$2:L50,"&gt;0")/ABS(SUMIF(L$2:L50,"&lt;0")),"")</f>
        <v/>
      </c>
      <c r="T50" s="2">
        <f>IF(SUM(H$2:H50)&gt;0,SUM(L$2:L50)/SUM(H$2:H50),"")</f>
        <v/>
      </c>
      <c r="U50" s="2" t="n"/>
      <c r="V50" s="2" t="n"/>
      <c r="AE50">
        <f>IF(ISNUMBER(L50),IF(L50&lt;=-200,1,0),"")</f>
        <v/>
      </c>
      <c r="AG50">
        <f>IF(ISNUMBER(O50),IF(O50&lt;=-300,1,0),"")</f>
        <v/>
      </c>
    </row>
    <row r="51">
      <c r="J51" s="2" t="n"/>
      <c r="K51" s="2">
        <f>IF(ISNUMBER(I51),1.9*I51,"")</f>
        <v/>
      </c>
      <c r="L51" s="2">
        <f>IF(AND(ISNUMBER(J51),ISNUMBER(K51)),J51-K51,"")</f>
        <v/>
      </c>
      <c r="M51" s="2">
        <f>IF(ISNUMBER(L51),IF(ISNUMBER(M50),M50,0)+L51,IF(ISNUMBER(M50),M50,""))</f>
        <v/>
      </c>
      <c r="N51" s="2">
        <f>IF(ISNUMBER(M51),MAX(M$2:M51),"")</f>
        <v/>
      </c>
      <c r="O51" s="2">
        <f>IF(ISNUMBER(M51),M51-N51,"")</f>
        <v/>
      </c>
      <c r="R51" s="3">
        <f>IF(COUNT(L$2:L51)&gt;0,COUNTIF(L$2:L51,"&gt;0")/COUNT(L$2:L51)*100,"")</f>
        <v/>
      </c>
      <c r="S51" s="3">
        <f>IF(SUMIF(L$2:L51,"&lt;0")&lt;0,SUMIF(L$2:L51,"&gt;0")/ABS(SUMIF(L$2:L51,"&lt;0")),"")</f>
        <v/>
      </c>
      <c r="T51" s="2">
        <f>IF(SUM(H$2:H51)&gt;0,SUM(L$2:L51)/SUM(H$2:H51),"")</f>
        <v/>
      </c>
      <c r="U51" s="2" t="n"/>
      <c r="V51" s="2" t="n"/>
      <c r="AE51">
        <f>IF(ISNUMBER(L51),IF(L51&lt;=-200,1,0),"")</f>
        <v/>
      </c>
      <c r="AG51">
        <f>IF(ISNUMBER(O51),IF(O51&lt;=-300,1,0),"")</f>
        <v/>
      </c>
    </row>
    <row r="52">
      <c r="J52" s="2" t="n"/>
      <c r="K52" s="2">
        <f>IF(ISNUMBER(I52),1.9*I52,"")</f>
        <v/>
      </c>
      <c r="L52" s="2">
        <f>IF(AND(ISNUMBER(J52),ISNUMBER(K52)),J52-K52,"")</f>
        <v/>
      </c>
      <c r="M52" s="2">
        <f>IF(ISNUMBER(L52),IF(ISNUMBER(M51),M51,0)+L52,IF(ISNUMBER(M51),M51,""))</f>
        <v/>
      </c>
      <c r="N52" s="2">
        <f>IF(ISNUMBER(M52),MAX(M$2:M52),"")</f>
        <v/>
      </c>
      <c r="O52" s="2">
        <f>IF(ISNUMBER(M52),M52-N52,"")</f>
        <v/>
      </c>
      <c r="R52" s="3">
        <f>IF(COUNT(L$2:L52)&gt;0,COUNTIF(L$2:L52,"&gt;0")/COUNT(L$2:L52)*100,"")</f>
        <v/>
      </c>
      <c r="S52" s="3">
        <f>IF(SUMIF(L$2:L52,"&lt;0")&lt;0,SUMIF(L$2:L52,"&gt;0")/ABS(SUMIF(L$2:L52,"&lt;0")),"")</f>
        <v/>
      </c>
      <c r="T52" s="2">
        <f>IF(SUM(H$2:H52)&gt;0,SUM(L$2:L52)/SUM(H$2:H52),"")</f>
        <v/>
      </c>
      <c r="U52" s="2" t="n"/>
      <c r="V52" s="2" t="n"/>
      <c r="AE52">
        <f>IF(ISNUMBER(L52),IF(L52&lt;=-200,1,0),"")</f>
        <v/>
      </c>
      <c r="AG52">
        <f>IF(ISNUMBER(O52),IF(O52&lt;=-300,1,0),"")</f>
        <v/>
      </c>
    </row>
    <row r="53">
      <c r="J53" s="2" t="n"/>
      <c r="K53" s="2">
        <f>IF(ISNUMBER(I53),1.9*I53,"")</f>
        <v/>
      </c>
      <c r="L53" s="2">
        <f>IF(AND(ISNUMBER(J53),ISNUMBER(K53)),J53-K53,"")</f>
        <v/>
      </c>
      <c r="M53" s="2">
        <f>IF(ISNUMBER(L53),IF(ISNUMBER(M52),M52,0)+L53,IF(ISNUMBER(M52),M52,""))</f>
        <v/>
      </c>
      <c r="N53" s="2">
        <f>IF(ISNUMBER(M53),MAX(M$2:M53),"")</f>
        <v/>
      </c>
      <c r="O53" s="2">
        <f>IF(ISNUMBER(M53),M53-N53,"")</f>
        <v/>
      </c>
      <c r="R53" s="3">
        <f>IF(COUNT(L$2:L53)&gt;0,COUNTIF(L$2:L53,"&gt;0")/COUNT(L$2:L53)*100,"")</f>
        <v/>
      </c>
      <c r="S53" s="3">
        <f>IF(SUMIF(L$2:L53,"&lt;0")&lt;0,SUMIF(L$2:L53,"&gt;0")/ABS(SUMIF(L$2:L53,"&lt;0")),"")</f>
        <v/>
      </c>
      <c r="T53" s="2">
        <f>IF(SUM(H$2:H53)&gt;0,SUM(L$2:L53)/SUM(H$2:H53),"")</f>
        <v/>
      </c>
      <c r="U53" s="2" t="n"/>
      <c r="V53" s="2" t="n"/>
      <c r="AE53">
        <f>IF(ISNUMBER(L53),IF(L53&lt;=-200,1,0),"")</f>
        <v/>
      </c>
      <c r="AG53">
        <f>IF(ISNUMBER(O53),IF(O53&lt;=-300,1,0),"")</f>
        <v/>
      </c>
    </row>
    <row r="54">
      <c r="J54" s="2" t="n"/>
      <c r="K54" s="2">
        <f>IF(ISNUMBER(I54),1.9*I54,"")</f>
        <v/>
      </c>
      <c r="L54" s="2">
        <f>IF(AND(ISNUMBER(J54),ISNUMBER(K54)),J54-K54,"")</f>
        <v/>
      </c>
      <c r="M54" s="2">
        <f>IF(ISNUMBER(L54),IF(ISNUMBER(M53),M53,0)+L54,IF(ISNUMBER(M53),M53,""))</f>
        <v/>
      </c>
      <c r="N54" s="2">
        <f>IF(ISNUMBER(M54),MAX(M$2:M54),"")</f>
        <v/>
      </c>
      <c r="O54" s="2">
        <f>IF(ISNUMBER(M54),M54-N54,"")</f>
        <v/>
      </c>
      <c r="R54" s="3">
        <f>IF(COUNT(L$2:L54)&gt;0,COUNTIF(L$2:L54,"&gt;0")/COUNT(L$2:L54)*100,"")</f>
        <v/>
      </c>
      <c r="S54" s="3">
        <f>IF(SUMIF(L$2:L54,"&lt;0")&lt;0,SUMIF(L$2:L54,"&gt;0")/ABS(SUMIF(L$2:L54,"&lt;0")),"")</f>
        <v/>
      </c>
      <c r="T54" s="2">
        <f>IF(SUM(H$2:H54)&gt;0,SUM(L$2:L54)/SUM(H$2:H54),"")</f>
        <v/>
      </c>
      <c r="U54" s="2" t="n"/>
      <c r="V54" s="2" t="n"/>
      <c r="AE54">
        <f>IF(ISNUMBER(L54),IF(L54&lt;=-200,1,0),"")</f>
        <v/>
      </c>
      <c r="AG54">
        <f>IF(ISNUMBER(O54),IF(O54&lt;=-300,1,0),"")</f>
        <v/>
      </c>
    </row>
    <row r="55">
      <c r="J55" s="2" t="n"/>
      <c r="K55" s="2">
        <f>IF(ISNUMBER(I55),1.9*I55,"")</f>
        <v/>
      </c>
      <c r="L55" s="2">
        <f>IF(AND(ISNUMBER(J55),ISNUMBER(K55)),J55-K55,"")</f>
        <v/>
      </c>
      <c r="M55" s="2">
        <f>IF(ISNUMBER(L55),IF(ISNUMBER(M54),M54,0)+L55,IF(ISNUMBER(M54),M54,""))</f>
        <v/>
      </c>
      <c r="N55" s="2">
        <f>IF(ISNUMBER(M55),MAX(M$2:M55),"")</f>
        <v/>
      </c>
      <c r="O55" s="2">
        <f>IF(ISNUMBER(M55),M55-N55,"")</f>
        <v/>
      </c>
      <c r="R55" s="3">
        <f>IF(COUNT(L$2:L55)&gt;0,COUNTIF(L$2:L55,"&gt;0")/COUNT(L$2:L55)*100,"")</f>
        <v/>
      </c>
      <c r="S55" s="3">
        <f>IF(SUMIF(L$2:L55,"&lt;0")&lt;0,SUMIF(L$2:L55,"&gt;0")/ABS(SUMIF(L$2:L55,"&lt;0")),"")</f>
        <v/>
      </c>
      <c r="T55" s="2">
        <f>IF(SUM(H$2:H55)&gt;0,SUM(L$2:L55)/SUM(H$2:H55),"")</f>
        <v/>
      </c>
      <c r="U55" s="2" t="n"/>
      <c r="V55" s="2" t="n"/>
      <c r="AE55">
        <f>IF(ISNUMBER(L55),IF(L55&lt;=-200,1,0),"")</f>
        <v/>
      </c>
      <c r="AG55">
        <f>IF(ISNUMBER(O55),IF(O55&lt;=-300,1,0),"")</f>
        <v/>
      </c>
    </row>
    <row r="56">
      <c r="J56" s="2" t="n"/>
      <c r="K56" s="2">
        <f>IF(ISNUMBER(I56),1.9*I56,"")</f>
        <v/>
      </c>
      <c r="L56" s="2">
        <f>IF(AND(ISNUMBER(J56),ISNUMBER(K56)),J56-K56,"")</f>
        <v/>
      </c>
      <c r="M56" s="2">
        <f>IF(ISNUMBER(L56),IF(ISNUMBER(M55),M55,0)+L56,IF(ISNUMBER(M55),M55,""))</f>
        <v/>
      </c>
      <c r="N56" s="2">
        <f>IF(ISNUMBER(M56),MAX(M$2:M56),"")</f>
        <v/>
      </c>
      <c r="O56" s="2">
        <f>IF(ISNUMBER(M56),M56-N56,"")</f>
        <v/>
      </c>
      <c r="R56" s="3">
        <f>IF(COUNT(L$2:L56)&gt;0,COUNTIF(L$2:L56,"&gt;0")/COUNT(L$2:L56)*100,"")</f>
        <v/>
      </c>
      <c r="S56" s="3">
        <f>IF(SUMIF(L$2:L56,"&lt;0")&lt;0,SUMIF(L$2:L56,"&gt;0")/ABS(SUMIF(L$2:L56,"&lt;0")),"")</f>
        <v/>
      </c>
      <c r="T56" s="2">
        <f>IF(SUM(H$2:H56)&gt;0,SUM(L$2:L56)/SUM(H$2:H56),"")</f>
        <v/>
      </c>
      <c r="U56" s="2" t="n"/>
      <c r="V56" s="2" t="n"/>
      <c r="AE56">
        <f>IF(ISNUMBER(L56),IF(L56&lt;=-200,1,0),"")</f>
        <v/>
      </c>
      <c r="AG56">
        <f>IF(ISNUMBER(O56),IF(O56&lt;=-300,1,0),"")</f>
        <v/>
      </c>
    </row>
    <row r="57">
      <c r="J57" s="2" t="n"/>
      <c r="K57" s="2">
        <f>IF(ISNUMBER(I57),1.9*I57,"")</f>
        <v/>
      </c>
      <c r="L57" s="2">
        <f>IF(AND(ISNUMBER(J57),ISNUMBER(K57)),J57-K57,"")</f>
        <v/>
      </c>
      <c r="M57" s="2">
        <f>IF(ISNUMBER(L57),IF(ISNUMBER(M56),M56,0)+L57,IF(ISNUMBER(M56),M56,""))</f>
        <v/>
      </c>
      <c r="N57" s="2">
        <f>IF(ISNUMBER(M57),MAX(M$2:M57),"")</f>
        <v/>
      </c>
      <c r="O57" s="2">
        <f>IF(ISNUMBER(M57),M57-N57,"")</f>
        <v/>
      </c>
      <c r="R57" s="3">
        <f>IF(COUNT(L$2:L57)&gt;0,COUNTIF(L$2:L57,"&gt;0")/COUNT(L$2:L57)*100,"")</f>
        <v/>
      </c>
      <c r="S57" s="3">
        <f>IF(SUMIF(L$2:L57,"&lt;0")&lt;0,SUMIF(L$2:L57,"&gt;0")/ABS(SUMIF(L$2:L57,"&lt;0")),"")</f>
        <v/>
      </c>
      <c r="T57" s="2">
        <f>IF(SUM(H$2:H57)&gt;0,SUM(L$2:L57)/SUM(H$2:H57),"")</f>
        <v/>
      </c>
      <c r="U57" s="2" t="n"/>
      <c r="V57" s="2" t="n"/>
      <c r="AE57">
        <f>IF(ISNUMBER(L57),IF(L57&lt;=-200,1,0),"")</f>
        <v/>
      </c>
      <c r="AG57">
        <f>IF(ISNUMBER(O57),IF(O57&lt;=-300,1,0),"")</f>
        <v/>
      </c>
    </row>
    <row r="58">
      <c r="J58" s="2" t="n"/>
      <c r="K58" s="2">
        <f>IF(ISNUMBER(I58),1.9*I58,"")</f>
        <v/>
      </c>
      <c r="L58" s="2">
        <f>IF(AND(ISNUMBER(J58),ISNUMBER(K58)),J58-K58,"")</f>
        <v/>
      </c>
      <c r="M58" s="2">
        <f>IF(ISNUMBER(L58),IF(ISNUMBER(M57),M57,0)+L58,IF(ISNUMBER(M57),M57,""))</f>
        <v/>
      </c>
      <c r="N58" s="2">
        <f>IF(ISNUMBER(M58),MAX(M$2:M58),"")</f>
        <v/>
      </c>
      <c r="O58" s="2">
        <f>IF(ISNUMBER(M58),M58-N58,"")</f>
        <v/>
      </c>
      <c r="R58" s="3">
        <f>IF(COUNT(L$2:L58)&gt;0,COUNTIF(L$2:L58,"&gt;0")/COUNT(L$2:L58)*100,"")</f>
        <v/>
      </c>
      <c r="S58" s="3">
        <f>IF(SUMIF(L$2:L58,"&lt;0")&lt;0,SUMIF(L$2:L58,"&gt;0")/ABS(SUMIF(L$2:L58,"&lt;0")),"")</f>
        <v/>
      </c>
      <c r="T58" s="2">
        <f>IF(SUM(H$2:H58)&gt;0,SUM(L$2:L58)/SUM(H$2:H58),"")</f>
        <v/>
      </c>
      <c r="U58" s="2" t="n"/>
      <c r="V58" s="2" t="n"/>
      <c r="AE58">
        <f>IF(ISNUMBER(L58),IF(L58&lt;=-200,1,0),"")</f>
        <v/>
      </c>
      <c r="AG58">
        <f>IF(ISNUMBER(O58),IF(O58&lt;=-300,1,0),"")</f>
        <v/>
      </c>
    </row>
    <row r="59">
      <c r="J59" s="2" t="n"/>
      <c r="K59" s="2">
        <f>IF(ISNUMBER(I59),1.9*I59,"")</f>
        <v/>
      </c>
      <c r="L59" s="2">
        <f>IF(AND(ISNUMBER(J59),ISNUMBER(K59)),J59-K59,"")</f>
        <v/>
      </c>
      <c r="M59" s="2">
        <f>IF(ISNUMBER(L59),IF(ISNUMBER(M58),M58,0)+L59,IF(ISNUMBER(M58),M58,""))</f>
        <v/>
      </c>
      <c r="N59" s="2">
        <f>IF(ISNUMBER(M59),MAX(M$2:M59),"")</f>
        <v/>
      </c>
      <c r="O59" s="2">
        <f>IF(ISNUMBER(M59),M59-N59,"")</f>
        <v/>
      </c>
      <c r="R59" s="3">
        <f>IF(COUNT(L$2:L59)&gt;0,COUNTIF(L$2:L59,"&gt;0")/COUNT(L$2:L59)*100,"")</f>
        <v/>
      </c>
      <c r="S59" s="3">
        <f>IF(SUMIF(L$2:L59,"&lt;0")&lt;0,SUMIF(L$2:L59,"&gt;0")/ABS(SUMIF(L$2:L59,"&lt;0")),"")</f>
        <v/>
      </c>
      <c r="T59" s="2">
        <f>IF(SUM(H$2:H59)&gt;0,SUM(L$2:L59)/SUM(H$2:H59),"")</f>
        <v/>
      </c>
      <c r="U59" s="2" t="n"/>
      <c r="V59" s="2" t="n"/>
      <c r="AE59">
        <f>IF(ISNUMBER(L59),IF(L59&lt;=-200,1,0),"")</f>
        <v/>
      </c>
      <c r="AG59">
        <f>IF(ISNUMBER(O59),IF(O59&lt;=-300,1,0),"")</f>
        <v/>
      </c>
    </row>
    <row r="60">
      <c r="J60" s="2" t="n"/>
      <c r="K60" s="2">
        <f>IF(ISNUMBER(I60),1.9*I60,"")</f>
        <v/>
      </c>
      <c r="L60" s="2">
        <f>IF(AND(ISNUMBER(J60),ISNUMBER(K60)),J60-K60,"")</f>
        <v/>
      </c>
      <c r="M60" s="2">
        <f>IF(ISNUMBER(L60),IF(ISNUMBER(M59),M59,0)+L60,IF(ISNUMBER(M59),M59,""))</f>
        <v/>
      </c>
      <c r="N60" s="2">
        <f>IF(ISNUMBER(M60),MAX(M$2:M60),"")</f>
        <v/>
      </c>
      <c r="O60" s="2">
        <f>IF(ISNUMBER(M60),M60-N60,"")</f>
        <v/>
      </c>
      <c r="R60" s="3">
        <f>IF(COUNT(L$2:L60)&gt;0,COUNTIF(L$2:L60,"&gt;0")/COUNT(L$2:L60)*100,"")</f>
        <v/>
      </c>
      <c r="S60" s="3">
        <f>IF(SUMIF(L$2:L60,"&lt;0")&lt;0,SUMIF(L$2:L60,"&gt;0")/ABS(SUMIF(L$2:L60,"&lt;0")),"")</f>
        <v/>
      </c>
      <c r="T60" s="2">
        <f>IF(SUM(H$2:H60)&gt;0,SUM(L$2:L60)/SUM(H$2:H60),"")</f>
        <v/>
      </c>
      <c r="U60" s="2" t="n"/>
      <c r="V60" s="2" t="n"/>
      <c r="AE60">
        <f>IF(ISNUMBER(L60),IF(L60&lt;=-200,1,0),"")</f>
        <v/>
      </c>
      <c r="AG60">
        <f>IF(ISNUMBER(O60),IF(O60&lt;=-300,1,0),"")</f>
        <v/>
      </c>
    </row>
    <row r="61">
      <c r="J61" s="2" t="n"/>
      <c r="K61" s="2">
        <f>IF(ISNUMBER(I61),1.9*I61,"")</f>
        <v/>
      </c>
      <c r="L61" s="2">
        <f>IF(AND(ISNUMBER(J61),ISNUMBER(K61)),J61-K61,"")</f>
        <v/>
      </c>
      <c r="M61" s="2">
        <f>IF(ISNUMBER(L61),IF(ISNUMBER(M60),M60,0)+L61,IF(ISNUMBER(M60),M60,""))</f>
        <v/>
      </c>
      <c r="N61" s="2">
        <f>IF(ISNUMBER(M61),MAX(M$2:M61),"")</f>
        <v/>
      </c>
      <c r="O61" s="2">
        <f>IF(ISNUMBER(M61),M61-N61,"")</f>
        <v/>
      </c>
      <c r="R61" s="3">
        <f>IF(COUNT(L$2:L61)&gt;0,COUNTIF(L$2:L61,"&gt;0")/COUNT(L$2:L61)*100,"")</f>
        <v/>
      </c>
      <c r="S61" s="3">
        <f>IF(SUMIF(L$2:L61,"&lt;0")&lt;0,SUMIF(L$2:L61,"&gt;0")/ABS(SUMIF(L$2:L61,"&lt;0")),"")</f>
        <v/>
      </c>
      <c r="T61" s="2">
        <f>IF(SUM(H$2:H61)&gt;0,SUM(L$2:L61)/SUM(H$2:H61),"")</f>
        <v/>
      </c>
      <c r="U61" s="2" t="n"/>
      <c r="V61" s="2" t="n"/>
      <c r="AE61">
        <f>IF(ISNUMBER(L61),IF(L61&lt;=-200,1,0),"")</f>
        <v/>
      </c>
      <c r="AG61">
        <f>IF(ISNUMBER(O61),IF(O61&lt;=-300,1,0),"")</f>
        <v/>
      </c>
    </row>
    <row r="62">
      <c r="J62" s="2" t="n"/>
      <c r="K62" s="2">
        <f>IF(ISNUMBER(I62),1.9*I62,"")</f>
        <v/>
      </c>
      <c r="L62" s="2">
        <f>IF(AND(ISNUMBER(J62),ISNUMBER(K62)),J62-K62,"")</f>
        <v/>
      </c>
      <c r="M62" s="2">
        <f>IF(ISNUMBER(L62),IF(ISNUMBER(M61),M61,0)+L62,IF(ISNUMBER(M61),M61,""))</f>
        <v/>
      </c>
      <c r="N62" s="2">
        <f>IF(ISNUMBER(M62),MAX(M$2:M62),"")</f>
        <v/>
      </c>
      <c r="O62" s="2">
        <f>IF(ISNUMBER(M62),M62-N62,"")</f>
        <v/>
      </c>
      <c r="R62" s="3">
        <f>IF(COUNT(L$2:L62)&gt;0,COUNTIF(L$2:L62,"&gt;0")/COUNT(L$2:L62)*100,"")</f>
        <v/>
      </c>
      <c r="S62" s="3">
        <f>IF(SUMIF(L$2:L62,"&lt;0")&lt;0,SUMIF(L$2:L62,"&gt;0")/ABS(SUMIF(L$2:L62,"&lt;0")),"")</f>
        <v/>
      </c>
      <c r="T62" s="2">
        <f>IF(SUM(H$2:H62)&gt;0,SUM(L$2:L62)/SUM(H$2:H62),"")</f>
        <v/>
      </c>
      <c r="U62" s="2" t="n"/>
      <c r="V62" s="2" t="n"/>
      <c r="AE62">
        <f>IF(ISNUMBER(L62),IF(L62&lt;=-200,1,0),"")</f>
        <v/>
      </c>
      <c r="AG62">
        <f>IF(ISNUMBER(O62),IF(O62&lt;=-300,1,0),"")</f>
        <v/>
      </c>
    </row>
    <row r="63">
      <c r="J63" s="2" t="n"/>
      <c r="K63" s="2">
        <f>IF(ISNUMBER(I63),1.9*I63,"")</f>
        <v/>
      </c>
      <c r="L63" s="2">
        <f>IF(AND(ISNUMBER(J63),ISNUMBER(K63)),J63-K63,"")</f>
        <v/>
      </c>
      <c r="M63" s="2">
        <f>IF(ISNUMBER(L63),IF(ISNUMBER(M62),M62,0)+L63,IF(ISNUMBER(M62),M62,""))</f>
        <v/>
      </c>
      <c r="N63" s="2">
        <f>IF(ISNUMBER(M63),MAX(M$2:M63),"")</f>
        <v/>
      </c>
      <c r="O63" s="2">
        <f>IF(ISNUMBER(M63),M63-N63,"")</f>
        <v/>
      </c>
      <c r="R63" s="3">
        <f>IF(COUNT(L$2:L63)&gt;0,COUNTIF(L$2:L63,"&gt;0")/COUNT(L$2:L63)*100,"")</f>
        <v/>
      </c>
      <c r="S63" s="3">
        <f>IF(SUMIF(L$2:L63,"&lt;0")&lt;0,SUMIF(L$2:L63,"&gt;0")/ABS(SUMIF(L$2:L63,"&lt;0")),"")</f>
        <v/>
      </c>
      <c r="T63" s="2">
        <f>IF(SUM(H$2:H63)&gt;0,SUM(L$2:L63)/SUM(H$2:H63),"")</f>
        <v/>
      </c>
      <c r="U63" s="2" t="n"/>
      <c r="V63" s="2" t="n"/>
      <c r="AE63">
        <f>IF(ISNUMBER(L63),IF(L63&lt;=-200,1,0),"")</f>
        <v/>
      </c>
      <c r="AG63">
        <f>IF(ISNUMBER(O63),IF(O63&lt;=-300,1,0),"")</f>
        <v/>
      </c>
    </row>
    <row r="64">
      <c r="J64" s="2" t="n"/>
      <c r="K64" s="2">
        <f>IF(ISNUMBER(I64),1.9*I64,"")</f>
        <v/>
      </c>
      <c r="L64" s="2">
        <f>IF(AND(ISNUMBER(J64),ISNUMBER(K64)),J64-K64,"")</f>
        <v/>
      </c>
      <c r="M64" s="2">
        <f>IF(ISNUMBER(L64),IF(ISNUMBER(M63),M63,0)+L64,IF(ISNUMBER(M63),M63,""))</f>
        <v/>
      </c>
      <c r="N64" s="2">
        <f>IF(ISNUMBER(M64),MAX(M$2:M64),"")</f>
        <v/>
      </c>
      <c r="O64" s="2">
        <f>IF(ISNUMBER(M64),M64-N64,"")</f>
        <v/>
      </c>
      <c r="R64" s="3">
        <f>IF(COUNT(L$2:L64)&gt;0,COUNTIF(L$2:L64,"&gt;0")/COUNT(L$2:L64)*100,"")</f>
        <v/>
      </c>
      <c r="S64" s="3">
        <f>IF(SUMIF(L$2:L64,"&lt;0")&lt;0,SUMIF(L$2:L64,"&gt;0")/ABS(SUMIF(L$2:L64,"&lt;0")),"")</f>
        <v/>
      </c>
      <c r="T64" s="2">
        <f>IF(SUM(H$2:H64)&gt;0,SUM(L$2:L64)/SUM(H$2:H64),"")</f>
        <v/>
      </c>
      <c r="U64" s="2" t="n"/>
      <c r="V64" s="2" t="n"/>
      <c r="AE64">
        <f>IF(ISNUMBER(L64),IF(L64&lt;=-200,1,0),"")</f>
        <v/>
      </c>
      <c r="AG64">
        <f>IF(ISNUMBER(O64),IF(O64&lt;=-300,1,0),"")</f>
        <v/>
      </c>
    </row>
    <row r="65">
      <c r="J65" s="2" t="n"/>
      <c r="K65" s="2">
        <f>IF(ISNUMBER(I65),1.9*I65,"")</f>
        <v/>
      </c>
      <c r="L65" s="2">
        <f>IF(AND(ISNUMBER(J65),ISNUMBER(K65)),J65-K65,"")</f>
        <v/>
      </c>
      <c r="M65" s="2">
        <f>IF(ISNUMBER(L65),IF(ISNUMBER(M64),M64,0)+L65,IF(ISNUMBER(M64),M64,""))</f>
        <v/>
      </c>
      <c r="N65" s="2">
        <f>IF(ISNUMBER(M65),MAX(M$2:M65),"")</f>
        <v/>
      </c>
      <c r="O65" s="2">
        <f>IF(ISNUMBER(M65),M65-N65,"")</f>
        <v/>
      </c>
      <c r="R65" s="3">
        <f>IF(COUNT(L$2:L65)&gt;0,COUNTIF(L$2:L65,"&gt;0")/COUNT(L$2:L65)*100,"")</f>
        <v/>
      </c>
      <c r="S65" s="3">
        <f>IF(SUMIF(L$2:L65,"&lt;0")&lt;0,SUMIF(L$2:L65,"&gt;0")/ABS(SUMIF(L$2:L65,"&lt;0")),"")</f>
        <v/>
      </c>
      <c r="T65" s="2">
        <f>IF(SUM(H$2:H65)&gt;0,SUM(L$2:L65)/SUM(H$2:H65),"")</f>
        <v/>
      </c>
      <c r="U65" s="2" t="n"/>
      <c r="V65" s="2" t="n"/>
      <c r="AE65">
        <f>IF(ISNUMBER(L65),IF(L65&lt;=-200,1,0),"")</f>
        <v/>
      </c>
      <c r="AG65">
        <f>IF(ISNUMBER(O65),IF(O65&lt;=-300,1,0),"")</f>
        <v/>
      </c>
    </row>
    <row r="66">
      <c r="J66" s="2" t="n"/>
      <c r="K66" s="2">
        <f>IF(ISNUMBER(I66),1.9*I66,"")</f>
        <v/>
      </c>
      <c r="L66" s="2">
        <f>IF(AND(ISNUMBER(J66),ISNUMBER(K66)),J66-K66,"")</f>
        <v/>
      </c>
      <c r="M66" s="2">
        <f>IF(ISNUMBER(L66),IF(ISNUMBER(M65),M65,0)+L66,IF(ISNUMBER(M65),M65,""))</f>
        <v/>
      </c>
      <c r="N66" s="2">
        <f>IF(ISNUMBER(M66),MAX(M$2:M66),"")</f>
        <v/>
      </c>
      <c r="O66" s="2">
        <f>IF(ISNUMBER(M66),M66-N66,"")</f>
        <v/>
      </c>
      <c r="R66" s="3">
        <f>IF(COUNT(L$2:L66)&gt;0,COUNTIF(L$2:L66,"&gt;0")/COUNT(L$2:L66)*100,"")</f>
        <v/>
      </c>
      <c r="S66" s="3">
        <f>IF(SUMIF(L$2:L66,"&lt;0")&lt;0,SUMIF(L$2:L66,"&gt;0")/ABS(SUMIF(L$2:L66,"&lt;0")),"")</f>
        <v/>
      </c>
      <c r="T66" s="2">
        <f>IF(SUM(H$2:H66)&gt;0,SUM(L$2:L66)/SUM(H$2:H66),"")</f>
        <v/>
      </c>
      <c r="U66" s="2" t="n"/>
      <c r="V66" s="2" t="n"/>
      <c r="AE66">
        <f>IF(ISNUMBER(L66),IF(L66&lt;=-200,1,0),"")</f>
        <v/>
      </c>
      <c r="AG66">
        <f>IF(ISNUMBER(O66),IF(O66&lt;=-300,1,0),"")</f>
        <v/>
      </c>
    </row>
    <row r="67">
      <c r="J67" s="2" t="n"/>
      <c r="K67" s="2">
        <f>IF(ISNUMBER(I67),1.9*I67,"")</f>
        <v/>
      </c>
      <c r="L67" s="2">
        <f>IF(AND(ISNUMBER(J67),ISNUMBER(K67)),J67-K67,"")</f>
        <v/>
      </c>
      <c r="M67" s="2">
        <f>IF(ISNUMBER(L67),IF(ISNUMBER(M66),M66,0)+L67,IF(ISNUMBER(M66),M66,""))</f>
        <v/>
      </c>
      <c r="N67" s="2">
        <f>IF(ISNUMBER(M67),MAX(M$2:M67),"")</f>
        <v/>
      </c>
      <c r="O67" s="2">
        <f>IF(ISNUMBER(M67),M67-N67,"")</f>
        <v/>
      </c>
      <c r="R67" s="3">
        <f>IF(COUNT(L$2:L67)&gt;0,COUNTIF(L$2:L67,"&gt;0")/COUNT(L$2:L67)*100,"")</f>
        <v/>
      </c>
      <c r="S67" s="3">
        <f>IF(SUMIF(L$2:L67,"&lt;0")&lt;0,SUMIF(L$2:L67,"&gt;0")/ABS(SUMIF(L$2:L67,"&lt;0")),"")</f>
        <v/>
      </c>
      <c r="T67" s="2">
        <f>IF(SUM(H$2:H67)&gt;0,SUM(L$2:L67)/SUM(H$2:H67),"")</f>
        <v/>
      </c>
      <c r="U67" s="2" t="n"/>
      <c r="V67" s="2" t="n"/>
      <c r="AE67">
        <f>IF(ISNUMBER(L67),IF(L67&lt;=-200,1,0),"")</f>
        <v/>
      </c>
      <c r="AG67">
        <f>IF(ISNUMBER(O67),IF(O67&lt;=-300,1,0),"")</f>
        <v/>
      </c>
    </row>
    <row r="68">
      <c r="J68" s="2" t="n"/>
      <c r="K68" s="2">
        <f>IF(ISNUMBER(I68),1.9*I68,"")</f>
        <v/>
      </c>
      <c r="L68" s="2">
        <f>IF(AND(ISNUMBER(J68),ISNUMBER(K68)),J68-K68,"")</f>
        <v/>
      </c>
      <c r="M68" s="2">
        <f>IF(ISNUMBER(L68),IF(ISNUMBER(M67),M67,0)+L68,IF(ISNUMBER(M67),M67,""))</f>
        <v/>
      </c>
      <c r="N68" s="2">
        <f>IF(ISNUMBER(M68),MAX(M$2:M68),"")</f>
        <v/>
      </c>
      <c r="O68" s="2">
        <f>IF(ISNUMBER(M68),M68-N68,"")</f>
        <v/>
      </c>
      <c r="R68" s="3">
        <f>IF(COUNT(L$2:L68)&gt;0,COUNTIF(L$2:L68,"&gt;0")/COUNT(L$2:L68)*100,"")</f>
        <v/>
      </c>
      <c r="S68" s="3">
        <f>IF(SUMIF(L$2:L68,"&lt;0")&lt;0,SUMIF(L$2:L68,"&gt;0")/ABS(SUMIF(L$2:L68,"&lt;0")),"")</f>
        <v/>
      </c>
      <c r="T68" s="2">
        <f>IF(SUM(H$2:H68)&gt;0,SUM(L$2:L68)/SUM(H$2:H68),"")</f>
        <v/>
      </c>
      <c r="U68" s="2" t="n"/>
      <c r="V68" s="2" t="n"/>
      <c r="AE68">
        <f>IF(ISNUMBER(L68),IF(L68&lt;=-200,1,0),"")</f>
        <v/>
      </c>
      <c r="AG68">
        <f>IF(ISNUMBER(O68),IF(O68&lt;=-300,1,0),"")</f>
        <v/>
      </c>
    </row>
    <row r="69">
      <c r="J69" s="2" t="n"/>
      <c r="K69" s="2">
        <f>IF(ISNUMBER(I69),1.9*I69,"")</f>
        <v/>
      </c>
      <c r="L69" s="2">
        <f>IF(AND(ISNUMBER(J69),ISNUMBER(K69)),J69-K69,"")</f>
        <v/>
      </c>
      <c r="M69" s="2">
        <f>IF(ISNUMBER(L69),IF(ISNUMBER(M68),M68,0)+L69,IF(ISNUMBER(M68),M68,""))</f>
        <v/>
      </c>
      <c r="N69" s="2">
        <f>IF(ISNUMBER(M69),MAX(M$2:M69),"")</f>
        <v/>
      </c>
      <c r="O69" s="2">
        <f>IF(ISNUMBER(M69),M69-N69,"")</f>
        <v/>
      </c>
      <c r="R69" s="3">
        <f>IF(COUNT(L$2:L69)&gt;0,COUNTIF(L$2:L69,"&gt;0")/COUNT(L$2:L69)*100,"")</f>
        <v/>
      </c>
      <c r="S69" s="3">
        <f>IF(SUMIF(L$2:L69,"&lt;0")&lt;0,SUMIF(L$2:L69,"&gt;0")/ABS(SUMIF(L$2:L69,"&lt;0")),"")</f>
        <v/>
      </c>
      <c r="T69" s="2">
        <f>IF(SUM(H$2:H69)&gt;0,SUM(L$2:L69)/SUM(H$2:H69),"")</f>
        <v/>
      </c>
      <c r="U69" s="2" t="n"/>
      <c r="V69" s="2" t="n"/>
      <c r="AE69">
        <f>IF(ISNUMBER(L69),IF(L69&lt;=-200,1,0),"")</f>
        <v/>
      </c>
      <c r="AG69">
        <f>IF(ISNUMBER(O69),IF(O69&lt;=-300,1,0),"")</f>
        <v/>
      </c>
    </row>
    <row r="70">
      <c r="J70" s="2" t="n"/>
      <c r="K70" s="2">
        <f>IF(ISNUMBER(I70),1.9*I70,"")</f>
        <v/>
      </c>
      <c r="L70" s="2">
        <f>IF(AND(ISNUMBER(J70),ISNUMBER(K70)),J70-K70,"")</f>
        <v/>
      </c>
      <c r="M70" s="2">
        <f>IF(ISNUMBER(L70),IF(ISNUMBER(M69),M69,0)+L70,IF(ISNUMBER(M69),M69,""))</f>
        <v/>
      </c>
      <c r="N70" s="2">
        <f>IF(ISNUMBER(M70),MAX(M$2:M70),"")</f>
        <v/>
      </c>
      <c r="O70" s="2">
        <f>IF(ISNUMBER(M70),M70-N70,"")</f>
        <v/>
      </c>
      <c r="R70" s="3">
        <f>IF(COUNT(L$2:L70)&gt;0,COUNTIF(L$2:L70,"&gt;0")/COUNT(L$2:L70)*100,"")</f>
        <v/>
      </c>
      <c r="S70" s="3">
        <f>IF(SUMIF(L$2:L70,"&lt;0")&lt;0,SUMIF(L$2:L70,"&gt;0")/ABS(SUMIF(L$2:L70,"&lt;0")),"")</f>
        <v/>
      </c>
      <c r="T70" s="2">
        <f>IF(SUM(H$2:H70)&gt;0,SUM(L$2:L70)/SUM(H$2:H70),"")</f>
        <v/>
      </c>
      <c r="U70" s="2" t="n"/>
      <c r="V70" s="2" t="n"/>
      <c r="AE70">
        <f>IF(ISNUMBER(L70),IF(L70&lt;=-200,1,0),"")</f>
        <v/>
      </c>
      <c r="AG70">
        <f>IF(ISNUMBER(O70),IF(O70&lt;=-300,1,0),"")</f>
        <v/>
      </c>
    </row>
    <row r="71">
      <c r="J71" s="2" t="n"/>
      <c r="K71" s="2">
        <f>IF(ISNUMBER(I71),1.9*I71,"")</f>
        <v/>
      </c>
      <c r="L71" s="2">
        <f>IF(AND(ISNUMBER(J71),ISNUMBER(K71)),J71-K71,"")</f>
        <v/>
      </c>
      <c r="M71" s="2">
        <f>IF(ISNUMBER(L71),IF(ISNUMBER(M70),M70,0)+L71,IF(ISNUMBER(M70),M70,""))</f>
        <v/>
      </c>
      <c r="N71" s="2">
        <f>IF(ISNUMBER(M71),MAX(M$2:M71),"")</f>
        <v/>
      </c>
      <c r="O71" s="2">
        <f>IF(ISNUMBER(M71),M71-N71,"")</f>
        <v/>
      </c>
      <c r="R71" s="3">
        <f>IF(COUNT(L$2:L71)&gt;0,COUNTIF(L$2:L71,"&gt;0")/COUNT(L$2:L71)*100,"")</f>
        <v/>
      </c>
      <c r="S71" s="3">
        <f>IF(SUMIF(L$2:L71,"&lt;0")&lt;0,SUMIF(L$2:L71,"&gt;0")/ABS(SUMIF(L$2:L71,"&lt;0")),"")</f>
        <v/>
      </c>
      <c r="T71" s="2">
        <f>IF(SUM(H$2:H71)&gt;0,SUM(L$2:L71)/SUM(H$2:H71),"")</f>
        <v/>
      </c>
      <c r="U71" s="2" t="n"/>
      <c r="V71" s="2" t="n"/>
      <c r="AE71">
        <f>IF(ISNUMBER(L71),IF(L71&lt;=-200,1,0),"")</f>
        <v/>
      </c>
      <c r="AG71">
        <f>IF(ISNUMBER(O71),IF(O71&lt;=-300,1,0),"")</f>
        <v/>
      </c>
    </row>
    <row r="72">
      <c r="J72" s="2" t="n"/>
      <c r="K72" s="2">
        <f>IF(ISNUMBER(I72),1.9*I72,"")</f>
        <v/>
      </c>
      <c r="L72" s="2">
        <f>IF(AND(ISNUMBER(J72),ISNUMBER(K72)),J72-K72,"")</f>
        <v/>
      </c>
      <c r="M72" s="2">
        <f>IF(ISNUMBER(L72),IF(ISNUMBER(M71),M71,0)+L72,IF(ISNUMBER(M71),M71,""))</f>
        <v/>
      </c>
      <c r="N72" s="2">
        <f>IF(ISNUMBER(M72),MAX(M$2:M72),"")</f>
        <v/>
      </c>
      <c r="O72" s="2">
        <f>IF(ISNUMBER(M72),M72-N72,"")</f>
        <v/>
      </c>
      <c r="R72" s="3">
        <f>IF(COUNT(L$2:L72)&gt;0,COUNTIF(L$2:L72,"&gt;0")/COUNT(L$2:L72)*100,"")</f>
        <v/>
      </c>
      <c r="S72" s="3">
        <f>IF(SUMIF(L$2:L72,"&lt;0")&lt;0,SUMIF(L$2:L72,"&gt;0")/ABS(SUMIF(L$2:L72,"&lt;0")),"")</f>
        <v/>
      </c>
      <c r="T72" s="2">
        <f>IF(SUM(H$2:H72)&gt;0,SUM(L$2:L72)/SUM(H$2:H72),"")</f>
        <v/>
      </c>
      <c r="U72" s="2" t="n"/>
      <c r="V72" s="2" t="n"/>
      <c r="AE72">
        <f>IF(ISNUMBER(L72),IF(L72&lt;=-200,1,0),"")</f>
        <v/>
      </c>
      <c r="AG72">
        <f>IF(ISNUMBER(O72),IF(O72&lt;=-300,1,0),"")</f>
        <v/>
      </c>
    </row>
    <row r="73">
      <c r="J73" s="2" t="n"/>
      <c r="K73" s="2">
        <f>IF(ISNUMBER(I73),1.9*I73,"")</f>
        <v/>
      </c>
      <c r="L73" s="2">
        <f>IF(AND(ISNUMBER(J73),ISNUMBER(K73)),J73-K73,"")</f>
        <v/>
      </c>
      <c r="M73" s="2">
        <f>IF(ISNUMBER(L73),IF(ISNUMBER(M72),M72,0)+L73,IF(ISNUMBER(M72),M72,""))</f>
        <v/>
      </c>
      <c r="N73" s="2">
        <f>IF(ISNUMBER(M73),MAX(M$2:M73),"")</f>
        <v/>
      </c>
      <c r="O73" s="2">
        <f>IF(ISNUMBER(M73),M73-N73,"")</f>
        <v/>
      </c>
      <c r="R73" s="3">
        <f>IF(COUNT(L$2:L73)&gt;0,COUNTIF(L$2:L73,"&gt;0")/COUNT(L$2:L73)*100,"")</f>
        <v/>
      </c>
      <c r="S73" s="3">
        <f>IF(SUMIF(L$2:L73,"&lt;0")&lt;0,SUMIF(L$2:L73,"&gt;0")/ABS(SUMIF(L$2:L73,"&lt;0")),"")</f>
        <v/>
      </c>
      <c r="T73" s="2">
        <f>IF(SUM(H$2:H73)&gt;0,SUM(L$2:L73)/SUM(H$2:H73),"")</f>
        <v/>
      </c>
      <c r="U73" s="2" t="n"/>
      <c r="V73" s="2" t="n"/>
      <c r="AE73">
        <f>IF(ISNUMBER(L73),IF(L73&lt;=-200,1,0),"")</f>
        <v/>
      </c>
      <c r="AG73">
        <f>IF(ISNUMBER(O73),IF(O73&lt;=-300,1,0),"")</f>
        <v/>
      </c>
    </row>
    <row r="74">
      <c r="J74" s="2" t="n"/>
      <c r="K74" s="2">
        <f>IF(ISNUMBER(I74),1.9*I74,"")</f>
        <v/>
      </c>
      <c r="L74" s="2">
        <f>IF(AND(ISNUMBER(J74),ISNUMBER(K74)),J74-K74,"")</f>
        <v/>
      </c>
      <c r="M74" s="2">
        <f>IF(ISNUMBER(L74),IF(ISNUMBER(M73),M73,0)+L74,IF(ISNUMBER(M73),M73,""))</f>
        <v/>
      </c>
      <c r="N74" s="2">
        <f>IF(ISNUMBER(M74),MAX(M$2:M74),"")</f>
        <v/>
      </c>
      <c r="O74" s="2">
        <f>IF(ISNUMBER(M74),M74-N74,"")</f>
        <v/>
      </c>
      <c r="R74" s="3">
        <f>IF(COUNT(L$2:L74)&gt;0,COUNTIF(L$2:L74,"&gt;0")/COUNT(L$2:L74)*100,"")</f>
        <v/>
      </c>
      <c r="S74" s="3">
        <f>IF(SUMIF(L$2:L74,"&lt;0")&lt;0,SUMIF(L$2:L74,"&gt;0")/ABS(SUMIF(L$2:L74,"&lt;0")),"")</f>
        <v/>
      </c>
      <c r="T74" s="2">
        <f>IF(SUM(H$2:H74)&gt;0,SUM(L$2:L74)/SUM(H$2:H74),"")</f>
        <v/>
      </c>
      <c r="U74" s="2" t="n"/>
      <c r="V74" s="2" t="n"/>
      <c r="AE74">
        <f>IF(ISNUMBER(L74),IF(L74&lt;=-200,1,0),"")</f>
        <v/>
      </c>
      <c r="AG74">
        <f>IF(ISNUMBER(O74),IF(O74&lt;=-300,1,0),"")</f>
        <v/>
      </c>
    </row>
    <row r="75">
      <c r="J75" s="2" t="n"/>
      <c r="K75" s="2">
        <f>IF(ISNUMBER(I75),1.9*I75,"")</f>
        <v/>
      </c>
      <c r="L75" s="2">
        <f>IF(AND(ISNUMBER(J75),ISNUMBER(K75)),J75-K75,"")</f>
        <v/>
      </c>
      <c r="M75" s="2">
        <f>IF(ISNUMBER(L75),IF(ISNUMBER(M74),M74,0)+L75,IF(ISNUMBER(M74),M74,""))</f>
        <v/>
      </c>
      <c r="N75" s="2">
        <f>IF(ISNUMBER(M75),MAX(M$2:M75),"")</f>
        <v/>
      </c>
      <c r="O75" s="2">
        <f>IF(ISNUMBER(M75),M75-N75,"")</f>
        <v/>
      </c>
      <c r="R75" s="3">
        <f>IF(COUNT(L$2:L75)&gt;0,COUNTIF(L$2:L75,"&gt;0")/COUNT(L$2:L75)*100,"")</f>
        <v/>
      </c>
      <c r="S75" s="3">
        <f>IF(SUMIF(L$2:L75,"&lt;0")&lt;0,SUMIF(L$2:L75,"&gt;0")/ABS(SUMIF(L$2:L75,"&lt;0")),"")</f>
        <v/>
      </c>
      <c r="T75" s="2">
        <f>IF(SUM(H$2:H75)&gt;0,SUM(L$2:L75)/SUM(H$2:H75),"")</f>
        <v/>
      </c>
      <c r="U75" s="2" t="n"/>
      <c r="V75" s="2" t="n"/>
      <c r="AE75">
        <f>IF(ISNUMBER(L75),IF(L75&lt;=-200,1,0),"")</f>
        <v/>
      </c>
      <c r="AG75">
        <f>IF(ISNUMBER(O75),IF(O75&lt;=-300,1,0),"")</f>
        <v/>
      </c>
    </row>
    <row r="76">
      <c r="J76" s="2" t="n"/>
      <c r="K76" s="2">
        <f>IF(ISNUMBER(I76),1.9*I76,"")</f>
        <v/>
      </c>
      <c r="L76" s="2">
        <f>IF(AND(ISNUMBER(J76),ISNUMBER(K76)),J76-K76,"")</f>
        <v/>
      </c>
      <c r="M76" s="2">
        <f>IF(ISNUMBER(L76),IF(ISNUMBER(M75),M75,0)+L76,IF(ISNUMBER(M75),M75,""))</f>
        <v/>
      </c>
      <c r="N76" s="2">
        <f>IF(ISNUMBER(M76),MAX(M$2:M76),"")</f>
        <v/>
      </c>
      <c r="O76" s="2">
        <f>IF(ISNUMBER(M76),M76-N76,"")</f>
        <v/>
      </c>
      <c r="R76" s="3">
        <f>IF(COUNT(L$2:L76)&gt;0,COUNTIF(L$2:L76,"&gt;0")/COUNT(L$2:L76)*100,"")</f>
        <v/>
      </c>
      <c r="S76" s="3">
        <f>IF(SUMIF(L$2:L76,"&lt;0")&lt;0,SUMIF(L$2:L76,"&gt;0")/ABS(SUMIF(L$2:L76,"&lt;0")),"")</f>
        <v/>
      </c>
      <c r="T76" s="2">
        <f>IF(SUM(H$2:H76)&gt;0,SUM(L$2:L76)/SUM(H$2:H76),"")</f>
        <v/>
      </c>
      <c r="U76" s="2" t="n"/>
      <c r="V76" s="2" t="n"/>
      <c r="AE76">
        <f>IF(ISNUMBER(L76),IF(L76&lt;=-200,1,0),"")</f>
        <v/>
      </c>
      <c r="AG76">
        <f>IF(ISNUMBER(O76),IF(O76&lt;=-300,1,0),"")</f>
        <v/>
      </c>
    </row>
    <row r="77">
      <c r="J77" s="2" t="n"/>
      <c r="K77" s="2">
        <f>IF(ISNUMBER(I77),1.9*I77,"")</f>
        <v/>
      </c>
      <c r="L77" s="2">
        <f>IF(AND(ISNUMBER(J77),ISNUMBER(K77)),J77-K77,"")</f>
        <v/>
      </c>
      <c r="M77" s="2">
        <f>IF(ISNUMBER(L77),IF(ISNUMBER(M76),M76,0)+L77,IF(ISNUMBER(M76),M76,""))</f>
        <v/>
      </c>
      <c r="N77" s="2">
        <f>IF(ISNUMBER(M77),MAX(M$2:M77),"")</f>
        <v/>
      </c>
      <c r="O77" s="2">
        <f>IF(ISNUMBER(M77),M77-N77,"")</f>
        <v/>
      </c>
      <c r="R77" s="3">
        <f>IF(COUNT(L$2:L77)&gt;0,COUNTIF(L$2:L77,"&gt;0")/COUNT(L$2:L77)*100,"")</f>
        <v/>
      </c>
      <c r="S77" s="3">
        <f>IF(SUMIF(L$2:L77,"&lt;0")&lt;0,SUMIF(L$2:L77,"&gt;0")/ABS(SUMIF(L$2:L77,"&lt;0")),"")</f>
        <v/>
      </c>
      <c r="T77" s="2">
        <f>IF(SUM(H$2:H77)&gt;0,SUM(L$2:L77)/SUM(H$2:H77),"")</f>
        <v/>
      </c>
      <c r="U77" s="2" t="n"/>
      <c r="V77" s="2" t="n"/>
      <c r="AE77">
        <f>IF(ISNUMBER(L77),IF(L77&lt;=-200,1,0),"")</f>
        <v/>
      </c>
      <c r="AG77">
        <f>IF(ISNUMBER(O77),IF(O77&lt;=-300,1,0),"")</f>
        <v/>
      </c>
    </row>
    <row r="78">
      <c r="J78" s="2" t="n"/>
      <c r="K78" s="2">
        <f>IF(ISNUMBER(I78),1.9*I78,"")</f>
        <v/>
      </c>
      <c r="L78" s="2">
        <f>IF(AND(ISNUMBER(J78),ISNUMBER(K78)),J78-K78,"")</f>
        <v/>
      </c>
      <c r="M78" s="2">
        <f>IF(ISNUMBER(L78),IF(ISNUMBER(M77),M77,0)+L78,IF(ISNUMBER(M77),M77,""))</f>
        <v/>
      </c>
      <c r="N78" s="2">
        <f>IF(ISNUMBER(M78),MAX(M$2:M78),"")</f>
        <v/>
      </c>
      <c r="O78" s="2">
        <f>IF(ISNUMBER(M78),M78-N78,"")</f>
        <v/>
      </c>
      <c r="R78" s="3">
        <f>IF(COUNT(L$2:L78)&gt;0,COUNTIF(L$2:L78,"&gt;0")/COUNT(L$2:L78)*100,"")</f>
        <v/>
      </c>
      <c r="S78" s="3">
        <f>IF(SUMIF(L$2:L78,"&lt;0")&lt;0,SUMIF(L$2:L78,"&gt;0")/ABS(SUMIF(L$2:L78,"&lt;0")),"")</f>
        <v/>
      </c>
      <c r="T78" s="2">
        <f>IF(SUM(H$2:H78)&gt;0,SUM(L$2:L78)/SUM(H$2:H78),"")</f>
        <v/>
      </c>
      <c r="U78" s="2" t="n"/>
      <c r="V78" s="2" t="n"/>
      <c r="AE78">
        <f>IF(ISNUMBER(L78),IF(L78&lt;=-200,1,0),"")</f>
        <v/>
      </c>
      <c r="AG78">
        <f>IF(ISNUMBER(O78),IF(O78&lt;=-300,1,0),"")</f>
        <v/>
      </c>
    </row>
    <row r="79">
      <c r="J79" s="2" t="n"/>
      <c r="K79" s="2">
        <f>IF(ISNUMBER(I79),1.9*I79,"")</f>
        <v/>
      </c>
      <c r="L79" s="2">
        <f>IF(AND(ISNUMBER(J79),ISNUMBER(K79)),J79-K79,"")</f>
        <v/>
      </c>
      <c r="M79" s="2">
        <f>IF(ISNUMBER(L79),IF(ISNUMBER(M78),M78,0)+L79,IF(ISNUMBER(M78),M78,""))</f>
        <v/>
      </c>
      <c r="N79" s="2">
        <f>IF(ISNUMBER(M79),MAX(M$2:M79),"")</f>
        <v/>
      </c>
      <c r="O79" s="2">
        <f>IF(ISNUMBER(M79),M79-N79,"")</f>
        <v/>
      </c>
      <c r="R79" s="3">
        <f>IF(COUNT(L$2:L79)&gt;0,COUNTIF(L$2:L79,"&gt;0")/COUNT(L$2:L79)*100,"")</f>
        <v/>
      </c>
      <c r="S79" s="3">
        <f>IF(SUMIF(L$2:L79,"&lt;0")&lt;0,SUMIF(L$2:L79,"&gt;0")/ABS(SUMIF(L$2:L79,"&lt;0")),"")</f>
        <v/>
      </c>
      <c r="T79" s="2">
        <f>IF(SUM(H$2:H79)&gt;0,SUM(L$2:L79)/SUM(H$2:H79),"")</f>
        <v/>
      </c>
      <c r="U79" s="2" t="n"/>
      <c r="V79" s="2" t="n"/>
      <c r="AE79">
        <f>IF(ISNUMBER(L79),IF(L79&lt;=-200,1,0),"")</f>
        <v/>
      </c>
      <c r="AG79">
        <f>IF(ISNUMBER(O79),IF(O79&lt;=-300,1,0),"")</f>
        <v/>
      </c>
    </row>
    <row r="80">
      <c r="J80" s="2" t="n"/>
      <c r="K80" s="2">
        <f>IF(ISNUMBER(I80),1.9*I80,"")</f>
        <v/>
      </c>
      <c r="L80" s="2">
        <f>IF(AND(ISNUMBER(J80),ISNUMBER(K80)),J80-K80,"")</f>
        <v/>
      </c>
      <c r="M80" s="2">
        <f>IF(ISNUMBER(L80),IF(ISNUMBER(M79),M79,0)+L80,IF(ISNUMBER(M79),M79,""))</f>
        <v/>
      </c>
      <c r="N80" s="2">
        <f>IF(ISNUMBER(M80),MAX(M$2:M80),"")</f>
        <v/>
      </c>
      <c r="O80" s="2">
        <f>IF(ISNUMBER(M80),M80-N80,"")</f>
        <v/>
      </c>
      <c r="R80" s="3">
        <f>IF(COUNT(L$2:L80)&gt;0,COUNTIF(L$2:L80,"&gt;0")/COUNT(L$2:L80)*100,"")</f>
        <v/>
      </c>
      <c r="S80" s="3">
        <f>IF(SUMIF(L$2:L80,"&lt;0")&lt;0,SUMIF(L$2:L80,"&gt;0")/ABS(SUMIF(L$2:L80,"&lt;0")),"")</f>
        <v/>
      </c>
      <c r="T80" s="2">
        <f>IF(SUM(H$2:H80)&gt;0,SUM(L$2:L80)/SUM(H$2:H80),"")</f>
        <v/>
      </c>
      <c r="U80" s="2" t="n"/>
      <c r="V80" s="2" t="n"/>
      <c r="AE80">
        <f>IF(ISNUMBER(L80),IF(L80&lt;=-200,1,0),"")</f>
        <v/>
      </c>
      <c r="AG80">
        <f>IF(ISNUMBER(O80),IF(O80&lt;=-300,1,0),"")</f>
        <v/>
      </c>
    </row>
    <row r="81">
      <c r="J81" s="2" t="n"/>
      <c r="K81" s="2">
        <f>IF(ISNUMBER(I81),1.9*I81,"")</f>
        <v/>
      </c>
      <c r="L81" s="2">
        <f>IF(AND(ISNUMBER(J81),ISNUMBER(K81)),J81-K81,"")</f>
        <v/>
      </c>
      <c r="M81" s="2">
        <f>IF(ISNUMBER(L81),IF(ISNUMBER(M80),M80,0)+L81,IF(ISNUMBER(M80),M80,""))</f>
        <v/>
      </c>
      <c r="N81" s="2">
        <f>IF(ISNUMBER(M81),MAX(M$2:M81),"")</f>
        <v/>
      </c>
      <c r="O81" s="2">
        <f>IF(ISNUMBER(M81),M81-N81,"")</f>
        <v/>
      </c>
      <c r="R81" s="3">
        <f>IF(COUNT(L$2:L81)&gt;0,COUNTIF(L$2:L81,"&gt;0")/COUNT(L$2:L81)*100,"")</f>
        <v/>
      </c>
      <c r="S81" s="3">
        <f>IF(SUMIF(L$2:L81,"&lt;0")&lt;0,SUMIF(L$2:L81,"&gt;0")/ABS(SUMIF(L$2:L81,"&lt;0")),"")</f>
        <v/>
      </c>
      <c r="T81" s="2">
        <f>IF(SUM(H$2:H81)&gt;0,SUM(L$2:L81)/SUM(H$2:H81),"")</f>
        <v/>
      </c>
      <c r="U81" s="2" t="n"/>
      <c r="V81" s="2" t="n"/>
      <c r="AE81">
        <f>IF(ISNUMBER(L81),IF(L81&lt;=-200,1,0),"")</f>
        <v/>
      </c>
      <c r="AG81">
        <f>IF(ISNUMBER(O81),IF(O81&lt;=-300,1,0),"")</f>
        <v/>
      </c>
    </row>
    <row r="82">
      <c r="J82" s="2" t="n"/>
      <c r="K82" s="2">
        <f>IF(ISNUMBER(I82),1.9*I82,"")</f>
        <v/>
      </c>
      <c r="L82" s="2">
        <f>IF(AND(ISNUMBER(J82),ISNUMBER(K82)),J82-K82,"")</f>
        <v/>
      </c>
      <c r="M82" s="2">
        <f>IF(ISNUMBER(L82),IF(ISNUMBER(M81),M81,0)+L82,IF(ISNUMBER(M81),M81,""))</f>
        <v/>
      </c>
      <c r="N82" s="2">
        <f>IF(ISNUMBER(M82),MAX(M$2:M82),"")</f>
        <v/>
      </c>
      <c r="O82" s="2">
        <f>IF(ISNUMBER(M82),M82-N82,"")</f>
        <v/>
      </c>
      <c r="R82" s="3">
        <f>IF(COUNT(L$2:L82)&gt;0,COUNTIF(L$2:L82,"&gt;0")/COUNT(L$2:L82)*100,"")</f>
        <v/>
      </c>
      <c r="S82" s="3">
        <f>IF(SUMIF(L$2:L82,"&lt;0")&lt;0,SUMIF(L$2:L82,"&gt;0")/ABS(SUMIF(L$2:L82,"&lt;0")),"")</f>
        <v/>
      </c>
      <c r="T82" s="2">
        <f>IF(SUM(H$2:H82)&gt;0,SUM(L$2:L82)/SUM(H$2:H82),"")</f>
        <v/>
      </c>
      <c r="U82" s="2" t="n"/>
      <c r="V82" s="2" t="n"/>
      <c r="AE82">
        <f>IF(ISNUMBER(L82),IF(L82&lt;=-200,1,0),"")</f>
        <v/>
      </c>
      <c r="AG82">
        <f>IF(ISNUMBER(O82),IF(O82&lt;=-300,1,0),"")</f>
        <v/>
      </c>
    </row>
    <row r="83">
      <c r="J83" s="2" t="n"/>
      <c r="K83" s="2">
        <f>IF(ISNUMBER(I83),1.9*I83,"")</f>
        <v/>
      </c>
      <c r="L83" s="2">
        <f>IF(AND(ISNUMBER(J83),ISNUMBER(K83)),J83-K83,"")</f>
        <v/>
      </c>
      <c r="M83" s="2">
        <f>IF(ISNUMBER(L83),IF(ISNUMBER(M82),M82,0)+L83,IF(ISNUMBER(M82),M82,""))</f>
        <v/>
      </c>
      <c r="N83" s="2">
        <f>IF(ISNUMBER(M83),MAX(M$2:M83),"")</f>
        <v/>
      </c>
      <c r="O83" s="2">
        <f>IF(ISNUMBER(M83),M83-N83,"")</f>
        <v/>
      </c>
      <c r="R83" s="3">
        <f>IF(COUNT(L$2:L83)&gt;0,COUNTIF(L$2:L83,"&gt;0")/COUNT(L$2:L83)*100,"")</f>
        <v/>
      </c>
      <c r="S83" s="3">
        <f>IF(SUMIF(L$2:L83,"&lt;0")&lt;0,SUMIF(L$2:L83,"&gt;0")/ABS(SUMIF(L$2:L83,"&lt;0")),"")</f>
        <v/>
      </c>
      <c r="T83" s="2">
        <f>IF(SUM(H$2:H83)&gt;0,SUM(L$2:L83)/SUM(H$2:H83),"")</f>
        <v/>
      </c>
      <c r="U83" s="2" t="n"/>
      <c r="V83" s="2" t="n"/>
      <c r="AE83">
        <f>IF(ISNUMBER(L83),IF(L83&lt;=-200,1,0),"")</f>
        <v/>
      </c>
      <c r="AG83">
        <f>IF(ISNUMBER(O83),IF(O83&lt;=-300,1,0),"")</f>
        <v/>
      </c>
    </row>
    <row r="84">
      <c r="J84" s="2" t="n"/>
      <c r="K84" s="2">
        <f>IF(ISNUMBER(I84),1.9*I84,"")</f>
        <v/>
      </c>
      <c r="L84" s="2">
        <f>IF(AND(ISNUMBER(J84),ISNUMBER(K84)),J84-K84,"")</f>
        <v/>
      </c>
      <c r="M84" s="2">
        <f>IF(ISNUMBER(L84),IF(ISNUMBER(M83),M83,0)+L84,IF(ISNUMBER(M83),M83,""))</f>
        <v/>
      </c>
      <c r="N84" s="2">
        <f>IF(ISNUMBER(M84),MAX(M$2:M84),"")</f>
        <v/>
      </c>
      <c r="O84" s="2">
        <f>IF(ISNUMBER(M84),M84-N84,"")</f>
        <v/>
      </c>
      <c r="R84" s="3">
        <f>IF(COUNT(L$2:L84)&gt;0,COUNTIF(L$2:L84,"&gt;0")/COUNT(L$2:L84)*100,"")</f>
        <v/>
      </c>
      <c r="S84" s="3">
        <f>IF(SUMIF(L$2:L84,"&lt;0")&lt;0,SUMIF(L$2:L84,"&gt;0")/ABS(SUMIF(L$2:L84,"&lt;0")),"")</f>
        <v/>
      </c>
      <c r="T84" s="2">
        <f>IF(SUM(H$2:H84)&gt;0,SUM(L$2:L84)/SUM(H$2:H84),"")</f>
        <v/>
      </c>
      <c r="U84" s="2" t="n"/>
      <c r="V84" s="2" t="n"/>
      <c r="AE84">
        <f>IF(ISNUMBER(L84),IF(L84&lt;=-200,1,0),"")</f>
        <v/>
      </c>
      <c r="AG84">
        <f>IF(ISNUMBER(O84),IF(O84&lt;=-300,1,0),"")</f>
        <v/>
      </c>
    </row>
    <row r="85">
      <c r="J85" s="2" t="n"/>
      <c r="K85" s="2">
        <f>IF(ISNUMBER(I85),1.9*I85,"")</f>
        <v/>
      </c>
      <c r="L85" s="2">
        <f>IF(AND(ISNUMBER(J85),ISNUMBER(K85)),J85-K85,"")</f>
        <v/>
      </c>
      <c r="M85" s="2">
        <f>IF(ISNUMBER(L85),IF(ISNUMBER(M84),M84,0)+L85,IF(ISNUMBER(M84),M84,""))</f>
        <v/>
      </c>
      <c r="N85" s="2">
        <f>IF(ISNUMBER(M85),MAX(M$2:M85),"")</f>
        <v/>
      </c>
      <c r="O85" s="2">
        <f>IF(ISNUMBER(M85),M85-N85,"")</f>
        <v/>
      </c>
      <c r="R85" s="3">
        <f>IF(COUNT(L$2:L85)&gt;0,COUNTIF(L$2:L85,"&gt;0")/COUNT(L$2:L85)*100,"")</f>
        <v/>
      </c>
      <c r="S85" s="3">
        <f>IF(SUMIF(L$2:L85,"&lt;0")&lt;0,SUMIF(L$2:L85,"&gt;0")/ABS(SUMIF(L$2:L85,"&lt;0")),"")</f>
        <v/>
      </c>
      <c r="T85" s="2">
        <f>IF(SUM(H$2:H85)&gt;0,SUM(L$2:L85)/SUM(H$2:H85),"")</f>
        <v/>
      </c>
      <c r="U85" s="2" t="n"/>
      <c r="V85" s="2" t="n"/>
      <c r="AE85">
        <f>IF(ISNUMBER(L85),IF(L85&lt;=-200,1,0),"")</f>
        <v/>
      </c>
      <c r="AG85">
        <f>IF(ISNUMBER(O85),IF(O85&lt;=-300,1,0),"")</f>
        <v/>
      </c>
    </row>
    <row r="86">
      <c r="J86" s="2" t="n"/>
      <c r="K86" s="2">
        <f>IF(ISNUMBER(I86),1.9*I86,"")</f>
        <v/>
      </c>
      <c r="L86" s="2">
        <f>IF(AND(ISNUMBER(J86),ISNUMBER(K86)),J86-K86,"")</f>
        <v/>
      </c>
      <c r="M86" s="2">
        <f>IF(ISNUMBER(L86),IF(ISNUMBER(M85),M85,0)+L86,IF(ISNUMBER(M85),M85,""))</f>
        <v/>
      </c>
      <c r="N86" s="2">
        <f>IF(ISNUMBER(M86),MAX(M$2:M86),"")</f>
        <v/>
      </c>
      <c r="O86" s="2">
        <f>IF(ISNUMBER(M86),M86-N86,"")</f>
        <v/>
      </c>
      <c r="R86" s="3">
        <f>IF(COUNT(L$2:L86)&gt;0,COUNTIF(L$2:L86,"&gt;0")/COUNT(L$2:L86)*100,"")</f>
        <v/>
      </c>
      <c r="S86" s="3">
        <f>IF(SUMIF(L$2:L86,"&lt;0")&lt;0,SUMIF(L$2:L86,"&gt;0")/ABS(SUMIF(L$2:L86,"&lt;0")),"")</f>
        <v/>
      </c>
      <c r="T86" s="2">
        <f>IF(SUM(H$2:H86)&gt;0,SUM(L$2:L86)/SUM(H$2:H86),"")</f>
        <v/>
      </c>
      <c r="U86" s="2" t="n"/>
      <c r="V86" s="2" t="n"/>
      <c r="AE86">
        <f>IF(ISNUMBER(L86),IF(L86&lt;=-200,1,0),"")</f>
        <v/>
      </c>
      <c r="AG86">
        <f>IF(ISNUMBER(O86),IF(O86&lt;=-300,1,0),"")</f>
        <v/>
      </c>
    </row>
    <row r="87">
      <c r="J87" s="2" t="n"/>
      <c r="K87" s="2">
        <f>IF(ISNUMBER(I87),1.9*I87,"")</f>
        <v/>
      </c>
      <c r="L87" s="2">
        <f>IF(AND(ISNUMBER(J87),ISNUMBER(K87)),J87-K87,"")</f>
        <v/>
      </c>
      <c r="M87" s="2">
        <f>IF(ISNUMBER(L87),IF(ISNUMBER(M86),M86,0)+L87,IF(ISNUMBER(M86),M86,""))</f>
        <v/>
      </c>
      <c r="N87" s="2">
        <f>IF(ISNUMBER(M87),MAX(M$2:M87),"")</f>
        <v/>
      </c>
      <c r="O87" s="2">
        <f>IF(ISNUMBER(M87),M87-N87,"")</f>
        <v/>
      </c>
      <c r="R87" s="3">
        <f>IF(COUNT(L$2:L87)&gt;0,COUNTIF(L$2:L87,"&gt;0")/COUNT(L$2:L87)*100,"")</f>
        <v/>
      </c>
      <c r="S87" s="3">
        <f>IF(SUMIF(L$2:L87,"&lt;0")&lt;0,SUMIF(L$2:L87,"&gt;0")/ABS(SUMIF(L$2:L87,"&lt;0")),"")</f>
        <v/>
      </c>
      <c r="T87" s="2">
        <f>IF(SUM(H$2:H87)&gt;0,SUM(L$2:L87)/SUM(H$2:H87),"")</f>
        <v/>
      </c>
      <c r="U87" s="2" t="n"/>
      <c r="V87" s="2" t="n"/>
      <c r="AE87">
        <f>IF(ISNUMBER(L87),IF(L87&lt;=-200,1,0),"")</f>
        <v/>
      </c>
      <c r="AG87">
        <f>IF(ISNUMBER(O87),IF(O87&lt;=-300,1,0),"")</f>
        <v/>
      </c>
    </row>
    <row r="88">
      <c r="J88" s="2" t="n"/>
      <c r="K88" s="2">
        <f>IF(ISNUMBER(I88),1.9*I88,"")</f>
        <v/>
      </c>
      <c r="L88" s="2">
        <f>IF(AND(ISNUMBER(J88),ISNUMBER(K88)),J88-K88,"")</f>
        <v/>
      </c>
      <c r="M88" s="2">
        <f>IF(ISNUMBER(L88),IF(ISNUMBER(M87),M87,0)+L88,IF(ISNUMBER(M87),M87,""))</f>
        <v/>
      </c>
      <c r="N88" s="2">
        <f>IF(ISNUMBER(M88),MAX(M$2:M88),"")</f>
        <v/>
      </c>
      <c r="O88" s="2">
        <f>IF(ISNUMBER(M88),M88-N88,"")</f>
        <v/>
      </c>
      <c r="R88" s="3">
        <f>IF(COUNT(L$2:L88)&gt;0,COUNTIF(L$2:L88,"&gt;0")/COUNT(L$2:L88)*100,"")</f>
        <v/>
      </c>
      <c r="S88" s="3">
        <f>IF(SUMIF(L$2:L88,"&lt;0")&lt;0,SUMIF(L$2:L88,"&gt;0")/ABS(SUMIF(L$2:L88,"&lt;0")),"")</f>
        <v/>
      </c>
      <c r="T88" s="2">
        <f>IF(SUM(H$2:H88)&gt;0,SUM(L$2:L88)/SUM(H$2:H88),"")</f>
        <v/>
      </c>
      <c r="U88" s="2" t="n"/>
      <c r="V88" s="2" t="n"/>
      <c r="AE88">
        <f>IF(ISNUMBER(L88),IF(L88&lt;=-200,1,0),"")</f>
        <v/>
      </c>
      <c r="AG88">
        <f>IF(ISNUMBER(O88),IF(O88&lt;=-300,1,0),"")</f>
        <v/>
      </c>
    </row>
    <row r="89">
      <c r="J89" s="2" t="n"/>
      <c r="K89" s="2">
        <f>IF(ISNUMBER(I89),1.9*I89,"")</f>
        <v/>
      </c>
      <c r="L89" s="2">
        <f>IF(AND(ISNUMBER(J89),ISNUMBER(K89)),J89-K89,"")</f>
        <v/>
      </c>
      <c r="M89" s="2">
        <f>IF(ISNUMBER(L89),IF(ISNUMBER(M88),M88,0)+L89,IF(ISNUMBER(M88),M88,""))</f>
        <v/>
      </c>
      <c r="N89" s="2">
        <f>IF(ISNUMBER(M89),MAX(M$2:M89),"")</f>
        <v/>
      </c>
      <c r="O89" s="2">
        <f>IF(ISNUMBER(M89),M89-N89,"")</f>
        <v/>
      </c>
      <c r="R89" s="3">
        <f>IF(COUNT(L$2:L89)&gt;0,COUNTIF(L$2:L89,"&gt;0")/COUNT(L$2:L89)*100,"")</f>
        <v/>
      </c>
      <c r="S89" s="3">
        <f>IF(SUMIF(L$2:L89,"&lt;0")&lt;0,SUMIF(L$2:L89,"&gt;0")/ABS(SUMIF(L$2:L89,"&lt;0")),"")</f>
        <v/>
      </c>
      <c r="T89" s="2">
        <f>IF(SUM(H$2:H89)&gt;0,SUM(L$2:L89)/SUM(H$2:H89),"")</f>
        <v/>
      </c>
      <c r="U89" s="2" t="n"/>
      <c r="V89" s="2" t="n"/>
      <c r="AE89">
        <f>IF(ISNUMBER(L89),IF(L89&lt;=-200,1,0),"")</f>
        <v/>
      </c>
      <c r="AG89">
        <f>IF(ISNUMBER(O89),IF(O89&lt;=-300,1,0),"")</f>
        <v/>
      </c>
    </row>
    <row r="90">
      <c r="J90" s="2" t="n"/>
      <c r="K90" s="2">
        <f>IF(ISNUMBER(I90),1.9*I90,"")</f>
        <v/>
      </c>
      <c r="L90" s="2">
        <f>IF(AND(ISNUMBER(J90),ISNUMBER(K90)),J90-K90,"")</f>
        <v/>
      </c>
      <c r="M90" s="2">
        <f>IF(ISNUMBER(L90),IF(ISNUMBER(M89),M89,0)+L90,IF(ISNUMBER(M89),M89,""))</f>
        <v/>
      </c>
      <c r="N90" s="2">
        <f>IF(ISNUMBER(M90),MAX(M$2:M90),"")</f>
        <v/>
      </c>
      <c r="O90" s="2">
        <f>IF(ISNUMBER(M90),M90-N90,"")</f>
        <v/>
      </c>
      <c r="R90" s="3">
        <f>IF(COUNT(L$2:L90)&gt;0,COUNTIF(L$2:L90,"&gt;0")/COUNT(L$2:L90)*100,"")</f>
        <v/>
      </c>
      <c r="S90" s="3">
        <f>IF(SUMIF(L$2:L90,"&lt;0")&lt;0,SUMIF(L$2:L90,"&gt;0")/ABS(SUMIF(L$2:L90,"&lt;0")),"")</f>
        <v/>
      </c>
      <c r="T90" s="2">
        <f>IF(SUM(H$2:H90)&gt;0,SUM(L$2:L90)/SUM(H$2:H90),"")</f>
        <v/>
      </c>
      <c r="U90" s="2" t="n"/>
      <c r="V90" s="2" t="n"/>
      <c r="AE90">
        <f>IF(ISNUMBER(L90),IF(L90&lt;=-200,1,0),"")</f>
        <v/>
      </c>
      <c r="AG90">
        <f>IF(ISNUMBER(O90),IF(O90&lt;=-300,1,0),"")</f>
        <v/>
      </c>
    </row>
    <row r="91">
      <c r="J91" s="2" t="n"/>
      <c r="K91" s="2">
        <f>IF(ISNUMBER(I91),1.9*I91,"")</f>
        <v/>
      </c>
      <c r="L91" s="2">
        <f>IF(AND(ISNUMBER(J91),ISNUMBER(K91)),J91-K91,"")</f>
        <v/>
      </c>
      <c r="M91" s="2">
        <f>IF(ISNUMBER(L91),IF(ISNUMBER(M90),M90,0)+L91,IF(ISNUMBER(M90),M90,""))</f>
        <v/>
      </c>
      <c r="N91" s="2">
        <f>IF(ISNUMBER(M91),MAX(M$2:M91),"")</f>
        <v/>
      </c>
      <c r="O91" s="2">
        <f>IF(ISNUMBER(M91),M91-N91,"")</f>
        <v/>
      </c>
      <c r="R91" s="3">
        <f>IF(COUNT(L$2:L91)&gt;0,COUNTIF(L$2:L91,"&gt;0")/COUNT(L$2:L91)*100,"")</f>
        <v/>
      </c>
      <c r="S91" s="3">
        <f>IF(SUMIF(L$2:L91,"&lt;0")&lt;0,SUMIF(L$2:L91,"&gt;0")/ABS(SUMIF(L$2:L91,"&lt;0")),"")</f>
        <v/>
      </c>
      <c r="T91" s="2">
        <f>IF(SUM(H$2:H91)&gt;0,SUM(L$2:L91)/SUM(H$2:H91),"")</f>
        <v/>
      </c>
      <c r="U91" s="2" t="n"/>
      <c r="V91" s="2" t="n"/>
      <c r="AE91">
        <f>IF(ISNUMBER(L91),IF(L91&lt;=-200,1,0),"")</f>
        <v/>
      </c>
      <c r="AG91">
        <f>IF(ISNUMBER(O91),IF(O91&lt;=-300,1,0),"")</f>
        <v/>
      </c>
    </row>
    <row r="92">
      <c r="J92" s="2" t="n"/>
      <c r="K92" s="2">
        <f>IF(ISNUMBER(I92),1.9*I92,"")</f>
        <v/>
      </c>
      <c r="L92" s="2">
        <f>IF(AND(ISNUMBER(J92),ISNUMBER(K92)),J92-K92,"")</f>
        <v/>
      </c>
      <c r="M92" s="2">
        <f>IF(ISNUMBER(L92),IF(ISNUMBER(M91),M91,0)+L92,IF(ISNUMBER(M91),M91,""))</f>
        <v/>
      </c>
      <c r="N92" s="2">
        <f>IF(ISNUMBER(M92),MAX(M$2:M92),"")</f>
        <v/>
      </c>
      <c r="O92" s="2">
        <f>IF(ISNUMBER(M92),M92-N92,"")</f>
        <v/>
      </c>
      <c r="R92" s="3">
        <f>IF(COUNT(L$2:L92)&gt;0,COUNTIF(L$2:L92,"&gt;0")/COUNT(L$2:L92)*100,"")</f>
        <v/>
      </c>
      <c r="S92" s="3">
        <f>IF(SUMIF(L$2:L92,"&lt;0")&lt;0,SUMIF(L$2:L92,"&gt;0")/ABS(SUMIF(L$2:L92,"&lt;0")),"")</f>
        <v/>
      </c>
      <c r="T92" s="2">
        <f>IF(SUM(H$2:H92)&gt;0,SUM(L$2:L92)/SUM(H$2:H92),"")</f>
        <v/>
      </c>
      <c r="U92" s="2" t="n"/>
      <c r="V92" s="2" t="n"/>
      <c r="AE92">
        <f>IF(ISNUMBER(L92),IF(L92&lt;=-200,1,0),"")</f>
        <v/>
      </c>
      <c r="AG92">
        <f>IF(ISNUMBER(O92),IF(O92&lt;=-300,1,0),"")</f>
        <v/>
      </c>
    </row>
    <row r="93">
      <c r="J93" s="2" t="n"/>
      <c r="K93" s="2">
        <f>IF(ISNUMBER(I93),1.9*I93,"")</f>
        <v/>
      </c>
      <c r="L93" s="2">
        <f>IF(AND(ISNUMBER(J93),ISNUMBER(K93)),J93-K93,"")</f>
        <v/>
      </c>
      <c r="M93" s="2">
        <f>IF(ISNUMBER(L93),IF(ISNUMBER(M92),M92,0)+L93,IF(ISNUMBER(M92),M92,""))</f>
        <v/>
      </c>
      <c r="N93" s="2">
        <f>IF(ISNUMBER(M93),MAX(M$2:M93),"")</f>
        <v/>
      </c>
      <c r="O93" s="2">
        <f>IF(ISNUMBER(M93),M93-N93,"")</f>
        <v/>
      </c>
      <c r="R93" s="3">
        <f>IF(COUNT(L$2:L93)&gt;0,COUNTIF(L$2:L93,"&gt;0")/COUNT(L$2:L93)*100,"")</f>
        <v/>
      </c>
      <c r="S93" s="3">
        <f>IF(SUMIF(L$2:L93,"&lt;0")&lt;0,SUMIF(L$2:L93,"&gt;0")/ABS(SUMIF(L$2:L93,"&lt;0")),"")</f>
        <v/>
      </c>
      <c r="T93" s="2">
        <f>IF(SUM(H$2:H93)&gt;0,SUM(L$2:L93)/SUM(H$2:H93),"")</f>
        <v/>
      </c>
      <c r="U93" s="2" t="n"/>
      <c r="V93" s="2" t="n"/>
      <c r="AE93">
        <f>IF(ISNUMBER(L93),IF(L93&lt;=-200,1,0),"")</f>
        <v/>
      </c>
      <c r="AG93">
        <f>IF(ISNUMBER(O93),IF(O93&lt;=-300,1,0),"")</f>
        <v/>
      </c>
    </row>
    <row r="94">
      <c r="J94" s="2" t="n"/>
      <c r="K94" s="2">
        <f>IF(ISNUMBER(I94),1.9*I94,"")</f>
        <v/>
      </c>
      <c r="L94" s="2">
        <f>IF(AND(ISNUMBER(J94),ISNUMBER(K94)),J94-K94,"")</f>
        <v/>
      </c>
      <c r="M94" s="2">
        <f>IF(ISNUMBER(L94),IF(ISNUMBER(M93),M93,0)+L94,IF(ISNUMBER(M93),M93,""))</f>
        <v/>
      </c>
      <c r="N94" s="2">
        <f>IF(ISNUMBER(M94),MAX(M$2:M94),"")</f>
        <v/>
      </c>
      <c r="O94" s="2">
        <f>IF(ISNUMBER(M94),M94-N94,"")</f>
        <v/>
      </c>
      <c r="R94" s="3">
        <f>IF(COUNT(L$2:L94)&gt;0,COUNTIF(L$2:L94,"&gt;0")/COUNT(L$2:L94)*100,"")</f>
        <v/>
      </c>
      <c r="S94" s="3">
        <f>IF(SUMIF(L$2:L94,"&lt;0")&lt;0,SUMIF(L$2:L94,"&gt;0")/ABS(SUMIF(L$2:L94,"&lt;0")),"")</f>
        <v/>
      </c>
      <c r="T94" s="2">
        <f>IF(SUM(H$2:H94)&gt;0,SUM(L$2:L94)/SUM(H$2:H94),"")</f>
        <v/>
      </c>
      <c r="U94" s="2" t="n"/>
      <c r="V94" s="2" t="n"/>
      <c r="AE94">
        <f>IF(ISNUMBER(L94),IF(L94&lt;=-200,1,0),"")</f>
        <v/>
      </c>
      <c r="AG94">
        <f>IF(ISNUMBER(O94),IF(O94&lt;=-300,1,0),"")</f>
        <v/>
      </c>
    </row>
    <row r="95">
      <c r="J95" s="2" t="n"/>
      <c r="K95" s="2">
        <f>IF(ISNUMBER(I95),1.9*I95,"")</f>
        <v/>
      </c>
      <c r="L95" s="2">
        <f>IF(AND(ISNUMBER(J95),ISNUMBER(K95)),J95-K95,"")</f>
        <v/>
      </c>
      <c r="M95" s="2">
        <f>IF(ISNUMBER(L95),IF(ISNUMBER(M94),M94,0)+L95,IF(ISNUMBER(M94),M94,""))</f>
        <v/>
      </c>
      <c r="N95" s="2">
        <f>IF(ISNUMBER(M95),MAX(M$2:M95),"")</f>
        <v/>
      </c>
      <c r="O95" s="2">
        <f>IF(ISNUMBER(M95),M95-N95,"")</f>
        <v/>
      </c>
      <c r="R95" s="3">
        <f>IF(COUNT(L$2:L95)&gt;0,COUNTIF(L$2:L95,"&gt;0")/COUNT(L$2:L95)*100,"")</f>
        <v/>
      </c>
      <c r="S95" s="3">
        <f>IF(SUMIF(L$2:L95,"&lt;0")&lt;0,SUMIF(L$2:L95,"&gt;0")/ABS(SUMIF(L$2:L95,"&lt;0")),"")</f>
        <v/>
      </c>
      <c r="T95" s="2">
        <f>IF(SUM(H$2:H95)&gt;0,SUM(L$2:L95)/SUM(H$2:H95),"")</f>
        <v/>
      </c>
      <c r="U95" s="2" t="n"/>
      <c r="V95" s="2" t="n"/>
      <c r="AE95">
        <f>IF(ISNUMBER(L95),IF(L95&lt;=-200,1,0),"")</f>
        <v/>
      </c>
      <c r="AG95">
        <f>IF(ISNUMBER(O95),IF(O95&lt;=-300,1,0),"")</f>
        <v/>
      </c>
    </row>
    <row r="96">
      <c r="J96" s="2" t="n"/>
      <c r="K96" s="2">
        <f>IF(ISNUMBER(I96),1.9*I96,"")</f>
        <v/>
      </c>
      <c r="L96" s="2">
        <f>IF(AND(ISNUMBER(J96),ISNUMBER(K96)),J96-K96,"")</f>
        <v/>
      </c>
      <c r="M96" s="2">
        <f>IF(ISNUMBER(L96),IF(ISNUMBER(M95),M95,0)+L96,IF(ISNUMBER(M95),M95,""))</f>
        <v/>
      </c>
      <c r="N96" s="2">
        <f>IF(ISNUMBER(M96),MAX(M$2:M96),"")</f>
        <v/>
      </c>
      <c r="O96" s="2">
        <f>IF(ISNUMBER(M96),M96-N96,"")</f>
        <v/>
      </c>
      <c r="R96" s="3">
        <f>IF(COUNT(L$2:L96)&gt;0,COUNTIF(L$2:L96,"&gt;0")/COUNT(L$2:L96)*100,"")</f>
        <v/>
      </c>
      <c r="S96" s="3">
        <f>IF(SUMIF(L$2:L96,"&lt;0")&lt;0,SUMIF(L$2:L96,"&gt;0")/ABS(SUMIF(L$2:L96,"&lt;0")),"")</f>
        <v/>
      </c>
      <c r="T96" s="2">
        <f>IF(SUM(H$2:H96)&gt;0,SUM(L$2:L96)/SUM(H$2:H96),"")</f>
        <v/>
      </c>
      <c r="U96" s="2" t="n"/>
      <c r="V96" s="2" t="n"/>
      <c r="AE96">
        <f>IF(ISNUMBER(L96),IF(L96&lt;=-200,1,0),"")</f>
        <v/>
      </c>
      <c r="AG96">
        <f>IF(ISNUMBER(O96),IF(O96&lt;=-300,1,0),"")</f>
        <v/>
      </c>
    </row>
    <row r="97">
      <c r="J97" s="2" t="n"/>
      <c r="K97" s="2">
        <f>IF(ISNUMBER(I97),1.9*I97,"")</f>
        <v/>
      </c>
      <c r="L97" s="2">
        <f>IF(AND(ISNUMBER(J97),ISNUMBER(K97)),J97-K97,"")</f>
        <v/>
      </c>
      <c r="M97" s="2">
        <f>IF(ISNUMBER(L97),IF(ISNUMBER(M96),M96,0)+L97,IF(ISNUMBER(M96),M96,""))</f>
        <v/>
      </c>
      <c r="N97" s="2">
        <f>IF(ISNUMBER(M97),MAX(M$2:M97),"")</f>
        <v/>
      </c>
      <c r="O97" s="2">
        <f>IF(ISNUMBER(M97),M97-N97,"")</f>
        <v/>
      </c>
      <c r="R97" s="3">
        <f>IF(COUNT(L$2:L97)&gt;0,COUNTIF(L$2:L97,"&gt;0")/COUNT(L$2:L97)*100,"")</f>
        <v/>
      </c>
      <c r="S97" s="3">
        <f>IF(SUMIF(L$2:L97,"&lt;0")&lt;0,SUMIF(L$2:L97,"&gt;0")/ABS(SUMIF(L$2:L97,"&lt;0")),"")</f>
        <v/>
      </c>
      <c r="T97" s="2">
        <f>IF(SUM(H$2:H97)&gt;0,SUM(L$2:L97)/SUM(H$2:H97),"")</f>
        <v/>
      </c>
      <c r="U97" s="2" t="n"/>
      <c r="V97" s="2" t="n"/>
      <c r="AE97">
        <f>IF(ISNUMBER(L97),IF(L97&lt;=-200,1,0),"")</f>
        <v/>
      </c>
      <c r="AG97">
        <f>IF(ISNUMBER(O97),IF(O97&lt;=-300,1,0),"")</f>
        <v/>
      </c>
    </row>
    <row r="98">
      <c r="J98" s="2" t="n"/>
      <c r="K98" s="2">
        <f>IF(ISNUMBER(I98),1.9*I98,"")</f>
        <v/>
      </c>
      <c r="L98" s="2">
        <f>IF(AND(ISNUMBER(J98),ISNUMBER(K98)),J98-K98,"")</f>
        <v/>
      </c>
      <c r="M98" s="2">
        <f>IF(ISNUMBER(L98),IF(ISNUMBER(M97),M97,0)+L98,IF(ISNUMBER(M97),M97,""))</f>
        <v/>
      </c>
      <c r="N98" s="2">
        <f>IF(ISNUMBER(M98),MAX(M$2:M98),"")</f>
        <v/>
      </c>
      <c r="O98" s="2">
        <f>IF(ISNUMBER(M98),M98-N98,"")</f>
        <v/>
      </c>
      <c r="R98" s="3">
        <f>IF(COUNT(L$2:L98)&gt;0,COUNTIF(L$2:L98,"&gt;0")/COUNT(L$2:L98)*100,"")</f>
        <v/>
      </c>
      <c r="S98" s="3">
        <f>IF(SUMIF(L$2:L98,"&lt;0")&lt;0,SUMIF(L$2:L98,"&gt;0")/ABS(SUMIF(L$2:L98,"&lt;0")),"")</f>
        <v/>
      </c>
      <c r="T98" s="2">
        <f>IF(SUM(H$2:H98)&gt;0,SUM(L$2:L98)/SUM(H$2:H98),"")</f>
        <v/>
      </c>
      <c r="U98" s="2" t="n"/>
      <c r="V98" s="2" t="n"/>
      <c r="AE98">
        <f>IF(ISNUMBER(L98),IF(L98&lt;=-200,1,0),"")</f>
        <v/>
      </c>
      <c r="AG98">
        <f>IF(ISNUMBER(O98),IF(O98&lt;=-300,1,0),"")</f>
        <v/>
      </c>
    </row>
    <row r="99">
      <c r="J99" s="2" t="n"/>
      <c r="K99" s="2">
        <f>IF(ISNUMBER(I99),1.9*I99,"")</f>
        <v/>
      </c>
      <c r="L99" s="2">
        <f>IF(AND(ISNUMBER(J99),ISNUMBER(K99)),J99-K99,"")</f>
        <v/>
      </c>
      <c r="M99" s="2">
        <f>IF(ISNUMBER(L99),IF(ISNUMBER(M98),M98,0)+L99,IF(ISNUMBER(M98),M98,""))</f>
        <v/>
      </c>
      <c r="N99" s="2">
        <f>IF(ISNUMBER(M99),MAX(M$2:M99),"")</f>
        <v/>
      </c>
      <c r="O99" s="2">
        <f>IF(ISNUMBER(M99),M99-N99,"")</f>
        <v/>
      </c>
      <c r="R99" s="3">
        <f>IF(COUNT(L$2:L99)&gt;0,COUNTIF(L$2:L99,"&gt;0")/COUNT(L$2:L99)*100,"")</f>
        <v/>
      </c>
      <c r="S99" s="3">
        <f>IF(SUMIF(L$2:L99,"&lt;0")&lt;0,SUMIF(L$2:L99,"&gt;0")/ABS(SUMIF(L$2:L99,"&lt;0")),"")</f>
        <v/>
      </c>
      <c r="T99" s="2">
        <f>IF(SUM(H$2:H99)&gt;0,SUM(L$2:L99)/SUM(H$2:H99),"")</f>
        <v/>
      </c>
      <c r="U99" s="2" t="n"/>
      <c r="V99" s="2" t="n"/>
      <c r="AE99">
        <f>IF(ISNUMBER(L99),IF(L99&lt;=-200,1,0),"")</f>
        <v/>
      </c>
      <c r="AG99">
        <f>IF(ISNUMBER(O99),IF(O99&lt;=-300,1,0),"")</f>
        <v/>
      </c>
    </row>
    <row r="100">
      <c r="J100" s="2" t="n"/>
      <c r="K100" s="2">
        <f>IF(ISNUMBER(I100),1.9*I100,"")</f>
        <v/>
      </c>
      <c r="L100" s="2">
        <f>IF(AND(ISNUMBER(J100),ISNUMBER(K100)),J100-K100,"")</f>
        <v/>
      </c>
      <c r="M100" s="2">
        <f>IF(ISNUMBER(L100),IF(ISNUMBER(M99),M99,0)+L100,IF(ISNUMBER(M99),M99,""))</f>
        <v/>
      </c>
      <c r="N100" s="2">
        <f>IF(ISNUMBER(M100),MAX(M$2:M100),"")</f>
        <v/>
      </c>
      <c r="O100" s="2">
        <f>IF(ISNUMBER(M100),M100-N100,"")</f>
        <v/>
      </c>
      <c r="R100" s="3">
        <f>IF(COUNT(L$2:L100)&gt;0,COUNTIF(L$2:L100,"&gt;0")/COUNT(L$2:L100)*100,"")</f>
        <v/>
      </c>
      <c r="S100" s="3">
        <f>IF(SUMIF(L$2:L100,"&lt;0")&lt;0,SUMIF(L$2:L100,"&gt;0")/ABS(SUMIF(L$2:L100,"&lt;0")),"")</f>
        <v/>
      </c>
      <c r="T100" s="2">
        <f>IF(SUM(H$2:H100)&gt;0,SUM(L$2:L100)/SUM(H$2:H100),"")</f>
        <v/>
      </c>
      <c r="U100" s="2" t="n"/>
      <c r="V100" s="2" t="n"/>
      <c r="AE100">
        <f>IF(ISNUMBER(L100),IF(L100&lt;=-200,1,0),"")</f>
        <v/>
      </c>
      <c r="AG100">
        <f>IF(ISNUMBER(O100),IF(O100&lt;=-300,1,0),"")</f>
        <v/>
      </c>
    </row>
    <row r="101">
      <c r="J101" s="2" t="n"/>
      <c r="K101" s="2">
        <f>IF(ISNUMBER(I101),1.9*I101,"")</f>
        <v/>
      </c>
      <c r="L101" s="2">
        <f>IF(AND(ISNUMBER(J101),ISNUMBER(K101)),J101-K101,"")</f>
        <v/>
      </c>
      <c r="M101" s="2">
        <f>IF(ISNUMBER(L101),IF(ISNUMBER(M100),M100,0)+L101,IF(ISNUMBER(M100),M100,""))</f>
        <v/>
      </c>
      <c r="N101" s="2">
        <f>IF(ISNUMBER(M101),MAX(M$2:M101),"")</f>
        <v/>
      </c>
      <c r="O101" s="2">
        <f>IF(ISNUMBER(M101),M101-N101,"")</f>
        <v/>
      </c>
      <c r="R101" s="3">
        <f>IF(COUNT(L$2:L101)&gt;0,COUNTIF(L$2:L101,"&gt;0")/COUNT(L$2:L101)*100,"")</f>
        <v/>
      </c>
      <c r="S101" s="3">
        <f>IF(SUMIF(L$2:L101,"&lt;0")&lt;0,SUMIF(L$2:L101,"&gt;0")/ABS(SUMIF(L$2:L101,"&lt;0")),"")</f>
        <v/>
      </c>
      <c r="T101" s="2">
        <f>IF(SUM(H$2:H101)&gt;0,SUM(L$2:L101)/SUM(H$2:H101),"")</f>
        <v/>
      </c>
      <c r="U101" s="2" t="n"/>
      <c r="V101" s="2" t="n"/>
      <c r="AE101">
        <f>IF(ISNUMBER(L101),IF(L101&lt;=-200,1,0),"")</f>
        <v/>
      </c>
      <c r="AG101">
        <f>IF(ISNUMBER(O101),IF(O101&lt;=-300,1,0),"")</f>
        <v/>
      </c>
    </row>
    <row r="102">
      <c r="J102" s="2" t="n"/>
      <c r="K102" s="2">
        <f>IF(ISNUMBER(I102),1.9*I102,"")</f>
        <v/>
      </c>
      <c r="L102" s="2">
        <f>IF(AND(ISNUMBER(J102),ISNUMBER(K102)),J102-K102,"")</f>
        <v/>
      </c>
      <c r="M102" s="2">
        <f>IF(ISNUMBER(L102),IF(ISNUMBER(M101),M101,0)+L102,IF(ISNUMBER(M101),M101,""))</f>
        <v/>
      </c>
      <c r="N102" s="2">
        <f>IF(ISNUMBER(M102),MAX(M$2:M102),"")</f>
        <v/>
      </c>
      <c r="O102" s="2">
        <f>IF(ISNUMBER(M102),M102-N102,"")</f>
        <v/>
      </c>
      <c r="R102" s="3">
        <f>IF(COUNT(L$2:L102)&gt;0,COUNTIF(L$2:L102,"&gt;0")/COUNT(L$2:L102)*100,"")</f>
        <v/>
      </c>
      <c r="S102" s="3">
        <f>IF(SUMIF(L$2:L102,"&lt;0")&lt;0,SUMIF(L$2:L102,"&gt;0")/ABS(SUMIF(L$2:L102,"&lt;0")),"")</f>
        <v/>
      </c>
      <c r="T102" s="2">
        <f>IF(SUM(H$2:H102)&gt;0,SUM(L$2:L102)/SUM(H$2:H102),"")</f>
        <v/>
      </c>
      <c r="U102" s="2" t="n"/>
      <c r="V102" s="2" t="n"/>
      <c r="AE102">
        <f>IF(ISNUMBER(L102),IF(L102&lt;=-200,1,0),"")</f>
        <v/>
      </c>
      <c r="AG102">
        <f>IF(ISNUMBER(O102),IF(O102&lt;=-300,1,0),"")</f>
        <v/>
      </c>
    </row>
    <row r="103">
      <c r="J103" s="2" t="n"/>
      <c r="K103" s="2">
        <f>IF(ISNUMBER(I103),1.9*I103,"")</f>
        <v/>
      </c>
      <c r="L103" s="2">
        <f>IF(AND(ISNUMBER(J103),ISNUMBER(K103)),J103-K103,"")</f>
        <v/>
      </c>
      <c r="M103" s="2">
        <f>IF(ISNUMBER(L103),IF(ISNUMBER(M102),M102,0)+L103,IF(ISNUMBER(M102),M102,""))</f>
        <v/>
      </c>
      <c r="N103" s="2">
        <f>IF(ISNUMBER(M103),MAX(M$2:M103),"")</f>
        <v/>
      </c>
      <c r="O103" s="2">
        <f>IF(ISNUMBER(M103),M103-N103,"")</f>
        <v/>
      </c>
      <c r="R103" s="3">
        <f>IF(COUNT(L$2:L103)&gt;0,COUNTIF(L$2:L103,"&gt;0")/COUNT(L$2:L103)*100,"")</f>
        <v/>
      </c>
      <c r="S103" s="3">
        <f>IF(SUMIF(L$2:L103,"&lt;0")&lt;0,SUMIF(L$2:L103,"&gt;0")/ABS(SUMIF(L$2:L103,"&lt;0")),"")</f>
        <v/>
      </c>
      <c r="T103" s="2">
        <f>IF(SUM(H$2:H103)&gt;0,SUM(L$2:L103)/SUM(H$2:H103),"")</f>
        <v/>
      </c>
      <c r="U103" s="2" t="n"/>
      <c r="V103" s="2" t="n"/>
      <c r="AE103">
        <f>IF(ISNUMBER(L103),IF(L103&lt;=-200,1,0),"")</f>
        <v/>
      </c>
      <c r="AG103">
        <f>IF(ISNUMBER(O103),IF(O103&lt;=-300,1,0),"")</f>
        <v/>
      </c>
    </row>
    <row r="104">
      <c r="J104" s="2" t="n"/>
      <c r="K104" s="2">
        <f>IF(ISNUMBER(I104),1.9*I104,"")</f>
        <v/>
      </c>
      <c r="L104" s="2">
        <f>IF(AND(ISNUMBER(J104),ISNUMBER(K104)),J104-K104,"")</f>
        <v/>
      </c>
      <c r="M104" s="2">
        <f>IF(ISNUMBER(L104),IF(ISNUMBER(M103),M103,0)+L104,IF(ISNUMBER(M103),M103,""))</f>
        <v/>
      </c>
      <c r="N104" s="2">
        <f>IF(ISNUMBER(M104),MAX(M$2:M104),"")</f>
        <v/>
      </c>
      <c r="O104" s="2">
        <f>IF(ISNUMBER(M104),M104-N104,"")</f>
        <v/>
      </c>
      <c r="R104" s="3">
        <f>IF(COUNT(L$2:L104)&gt;0,COUNTIF(L$2:L104,"&gt;0")/COUNT(L$2:L104)*100,"")</f>
        <v/>
      </c>
      <c r="S104" s="3">
        <f>IF(SUMIF(L$2:L104,"&lt;0")&lt;0,SUMIF(L$2:L104,"&gt;0")/ABS(SUMIF(L$2:L104,"&lt;0")),"")</f>
        <v/>
      </c>
      <c r="T104" s="2">
        <f>IF(SUM(H$2:H104)&gt;0,SUM(L$2:L104)/SUM(H$2:H104),"")</f>
        <v/>
      </c>
      <c r="U104" s="2" t="n"/>
      <c r="V104" s="2" t="n"/>
      <c r="AE104">
        <f>IF(ISNUMBER(L104),IF(L104&lt;=-200,1,0),"")</f>
        <v/>
      </c>
      <c r="AG104">
        <f>IF(ISNUMBER(O104),IF(O104&lt;=-300,1,0),"")</f>
        <v/>
      </c>
    </row>
    <row r="105">
      <c r="J105" s="2" t="n"/>
      <c r="K105" s="2">
        <f>IF(ISNUMBER(I105),1.9*I105,"")</f>
        <v/>
      </c>
      <c r="L105" s="2">
        <f>IF(AND(ISNUMBER(J105),ISNUMBER(K105)),J105-K105,"")</f>
        <v/>
      </c>
      <c r="M105" s="2">
        <f>IF(ISNUMBER(L105),IF(ISNUMBER(M104),M104,0)+L105,IF(ISNUMBER(M104),M104,""))</f>
        <v/>
      </c>
      <c r="N105" s="2">
        <f>IF(ISNUMBER(M105),MAX(M$2:M105),"")</f>
        <v/>
      </c>
      <c r="O105" s="2">
        <f>IF(ISNUMBER(M105),M105-N105,"")</f>
        <v/>
      </c>
      <c r="R105" s="3">
        <f>IF(COUNT(L$2:L105)&gt;0,COUNTIF(L$2:L105,"&gt;0")/COUNT(L$2:L105)*100,"")</f>
        <v/>
      </c>
      <c r="S105" s="3">
        <f>IF(SUMIF(L$2:L105,"&lt;0")&lt;0,SUMIF(L$2:L105,"&gt;0")/ABS(SUMIF(L$2:L105,"&lt;0")),"")</f>
        <v/>
      </c>
      <c r="T105" s="2">
        <f>IF(SUM(H$2:H105)&gt;0,SUM(L$2:L105)/SUM(H$2:H105),"")</f>
        <v/>
      </c>
      <c r="U105" s="2" t="n"/>
      <c r="V105" s="2" t="n"/>
      <c r="AE105">
        <f>IF(ISNUMBER(L105),IF(L105&lt;=-200,1,0),"")</f>
        <v/>
      </c>
      <c r="AG105">
        <f>IF(ISNUMBER(O105),IF(O105&lt;=-300,1,0),"")</f>
        <v/>
      </c>
    </row>
    <row r="106">
      <c r="J106" s="2" t="n"/>
      <c r="K106" s="2">
        <f>IF(ISNUMBER(I106),1.9*I106,"")</f>
        <v/>
      </c>
      <c r="L106" s="2">
        <f>IF(AND(ISNUMBER(J106),ISNUMBER(K106)),J106-K106,"")</f>
        <v/>
      </c>
      <c r="M106" s="2">
        <f>IF(ISNUMBER(L106),IF(ISNUMBER(M105),M105,0)+L106,IF(ISNUMBER(M105),M105,""))</f>
        <v/>
      </c>
      <c r="N106" s="2">
        <f>IF(ISNUMBER(M106),MAX(M$2:M106),"")</f>
        <v/>
      </c>
      <c r="O106" s="2">
        <f>IF(ISNUMBER(M106),M106-N106,"")</f>
        <v/>
      </c>
      <c r="R106" s="3">
        <f>IF(COUNT(L$2:L106)&gt;0,COUNTIF(L$2:L106,"&gt;0")/COUNT(L$2:L106)*100,"")</f>
        <v/>
      </c>
      <c r="S106" s="3">
        <f>IF(SUMIF(L$2:L106,"&lt;0")&lt;0,SUMIF(L$2:L106,"&gt;0")/ABS(SUMIF(L$2:L106,"&lt;0")),"")</f>
        <v/>
      </c>
      <c r="T106" s="2">
        <f>IF(SUM(H$2:H106)&gt;0,SUM(L$2:L106)/SUM(H$2:H106),"")</f>
        <v/>
      </c>
      <c r="U106" s="2" t="n"/>
      <c r="V106" s="2" t="n"/>
      <c r="AE106">
        <f>IF(ISNUMBER(L106),IF(L106&lt;=-200,1,0),"")</f>
        <v/>
      </c>
      <c r="AG106">
        <f>IF(ISNUMBER(O106),IF(O106&lt;=-300,1,0),"")</f>
        <v/>
      </c>
    </row>
    <row r="107">
      <c r="J107" s="2" t="n"/>
      <c r="K107" s="2">
        <f>IF(ISNUMBER(I107),1.9*I107,"")</f>
        <v/>
      </c>
      <c r="L107" s="2">
        <f>IF(AND(ISNUMBER(J107),ISNUMBER(K107)),J107-K107,"")</f>
        <v/>
      </c>
      <c r="M107" s="2">
        <f>IF(ISNUMBER(L107),IF(ISNUMBER(M106),M106,0)+L107,IF(ISNUMBER(M106),M106,""))</f>
        <v/>
      </c>
      <c r="N107" s="2">
        <f>IF(ISNUMBER(M107),MAX(M$2:M107),"")</f>
        <v/>
      </c>
      <c r="O107" s="2">
        <f>IF(ISNUMBER(M107),M107-N107,"")</f>
        <v/>
      </c>
      <c r="R107" s="3">
        <f>IF(COUNT(L$2:L107)&gt;0,COUNTIF(L$2:L107,"&gt;0")/COUNT(L$2:L107)*100,"")</f>
        <v/>
      </c>
      <c r="S107" s="3">
        <f>IF(SUMIF(L$2:L107,"&lt;0")&lt;0,SUMIF(L$2:L107,"&gt;0")/ABS(SUMIF(L$2:L107,"&lt;0")),"")</f>
        <v/>
      </c>
      <c r="T107" s="2">
        <f>IF(SUM(H$2:H107)&gt;0,SUM(L$2:L107)/SUM(H$2:H107),"")</f>
        <v/>
      </c>
      <c r="U107" s="2" t="n"/>
      <c r="V107" s="2" t="n"/>
      <c r="AE107">
        <f>IF(ISNUMBER(L107),IF(L107&lt;=-200,1,0),"")</f>
        <v/>
      </c>
      <c r="AG107">
        <f>IF(ISNUMBER(O107),IF(O107&lt;=-300,1,0),"")</f>
        <v/>
      </c>
    </row>
    <row r="108">
      <c r="J108" s="2" t="n"/>
      <c r="K108" s="2">
        <f>IF(ISNUMBER(I108),1.9*I108,"")</f>
        <v/>
      </c>
      <c r="L108" s="2">
        <f>IF(AND(ISNUMBER(J108),ISNUMBER(K108)),J108-K108,"")</f>
        <v/>
      </c>
      <c r="M108" s="2">
        <f>IF(ISNUMBER(L108),IF(ISNUMBER(M107),M107,0)+L108,IF(ISNUMBER(M107),M107,""))</f>
        <v/>
      </c>
      <c r="N108" s="2">
        <f>IF(ISNUMBER(M108),MAX(M$2:M108),"")</f>
        <v/>
      </c>
      <c r="O108" s="2">
        <f>IF(ISNUMBER(M108),M108-N108,"")</f>
        <v/>
      </c>
      <c r="R108" s="3">
        <f>IF(COUNT(L$2:L108)&gt;0,COUNTIF(L$2:L108,"&gt;0")/COUNT(L$2:L108)*100,"")</f>
        <v/>
      </c>
      <c r="S108" s="3">
        <f>IF(SUMIF(L$2:L108,"&lt;0")&lt;0,SUMIF(L$2:L108,"&gt;0")/ABS(SUMIF(L$2:L108,"&lt;0")),"")</f>
        <v/>
      </c>
      <c r="T108" s="2">
        <f>IF(SUM(H$2:H108)&gt;0,SUM(L$2:L108)/SUM(H$2:H108),"")</f>
        <v/>
      </c>
      <c r="U108" s="2" t="n"/>
      <c r="V108" s="2" t="n"/>
      <c r="AE108">
        <f>IF(ISNUMBER(L108),IF(L108&lt;=-200,1,0),"")</f>
        <v/>
      </c>
      <c r="AG108">
        <f>IF(ISNUMBER(O108),IF(O108&lt;=-300,1,0),"")</f>
        <v/>
      </c>
    </row>
    <row r="109">
      <c r="J109" s="2" t="n"/>
      <c r="K109" s="2">
        <f>IF(ISNUMBER(I109),1.9*I109,"")</f>
        <v/>
      </c>
      <c r="L109" s="2">
        <f>IF(AND(ISNUMBER(J109),ISNUMBER(K109)),J109-K109,"")</f>
        <v/>
      </c>
      <c r="M109" s="2">
        <f>IF(ISNUMBER(L109),IF(ISNUMBER(M108),M108,0)+L109,IF(ISNUMBER(M108),M108,""))</f>
        <v/>
      </c>
      <c r="N109" s="2">
        <f>IF(ISNUMBER(M109),MAX(M$2:M109),"")</f>
        <v/>
      </c>
      <c r="O109" s="2">
        <f>IF(ISNUMBER(M109),M109-N109,"")</f>
        <v/>
      </c>
      <c r="R109" s="3">
        <f>IF(COUNT(L$2:L109)&gt;0,COUNTIF(L$2:L109,"&gt;0")/COUNT(L$2:L109)*100,"")</f>
        <v/>
      </c>
      <c r="S109" s="3">
        <f>IF(SUMIF(L$2:L109,"&lt;0")&lt;0,SUMIF(L$2:L109,"&gt;0")/ABS(SUMIF(L$2:L109,"&lt;0")),"")</f>
        <v/>
      </c>
      <c r="T109" s="2">
        <f>IF(SUM(H$2:H109)&gt;0,SUM(L$2:L109)/SUM(H$2:H109),"")</f>
        <v/>
      </c>
      <c r="U109" s="2" t="n"/>
      <c r="V109" s="2" t="n"/>
      <c r="AE109">
        <f>IF(ISNUMBER(L109),IF(L109&lt;=-200,1,0),"")</f>
        <v/>
      </c>
      <c r="AG109">
        <f>IF(ISNUMBER(O109),IF(O109&lt;=-300,1,0),"")</f>
        <v/>
      </c>
    </row>
    <row r="110">
      <c r="J110" s="2" t="n"/>
      <c r="K110" s="2">
        <f>IF(ISNUMBER(I110),1.9*I110,"")</f>
        <v/>
      </c>
      <c r="L110" s="2">
        <f>IF(AND(ISNUMBER(J110),ISNUMBER(K110)),J110-K110,"")</f>
        <v/>
      </c>
      <c r="M110" s="2">
        <f>IF(ISNUMBER(L110),IF(ISNUMBER(M109),M109,0)+L110,IF(ISNUMBER(M109),M109,""))</f>
        <v/>
      </c>
      <c r="N110" s="2">
        <f>IF(ISNUMBER(M110),MAX(M$2:M110),"")</f>
        <v/>
      </c>
      <c r="O110" s="2">
        <f>IF(ISNUMBER(M110),M110-N110,"")</f>
        <v/>
      </c>
      <c r="R110" s="3">
        <f>IF(COUNT(L$2:L110)&gt;0,COUNTIF(L$2:L110,"&gt;0")/COUNT(L$2:L110)*100,"")</f>
        <v/>
      </c>
      <c r="S110" s="3">
        <f>IF(SUMIF(L$2:L110,"&lt;0")&lt;0,SUMIF(L$2:L110,"&gt;0")/ABS(SUMIF(L$2:L110,"&lt;0")),"")</f>
        <v/>
      </c>
      <c r="T110" s="2">
        <f>IF(SUM(H$2:H110)&gt;0,SUM(L$2:L110)/SUM(H$2:H110),"")</f>
        <v/>
      </c>
      <c r="U110" s="2" t="n"/>
      <c r="V110" s="2" t="n"/>
      <c r="AE110">
        <f>IF(ISNUMBER(L110),IF(L110&lt;=-200,1,0),"")</f>
        <v/>
      </c>
      <c r="AG110">
        <f>IF(ISNUMBER(O110),IF(O110&lt;=-300,1,0),"")</f>
        <v/>
      </c>
    </row>
    <row r="111">
      <c r="J111" s="2" t="n"/>
      <c r="K111" s="2">
        <f>IF(ISNUMBER(I111),1.9*I111,"")</f>
        <v/>
      </c>
      <c r="L111" s="2">
        <f>IF(AND(ISNUMBER(J111),ISNUMBER(K111)),J111-K111,"")</f>
        <v/>
      </c>
      <c r="M111" s="2">
        <f>IF(ISNUMBER(L111),IF(ISNUMBER(M110),M110,0)+L111,IF(ISNUMBER(M110),M110,""))</f>
        <v/>
      </c>
      <c r="N111" s="2">
        <f>IF(ISNUMBER(M111),MAX(M$2:M111),"")</f>
        <v/>
      </c>
      <c r="O111" s="2">
        <f>IF(ISNUMBER(M111),M111-N111,"")</f>
        <v/>
      </c>
      <c r="R111" s="3">
        <f>IF(COUNT(L$2:L111)&gt;0,COUNTIF(L$2:L111,"&gt;0")/COUNT(L$2:L111)*100,"")</f>
        <v/>
      </c>
      <c r="S111" s="3">
        <f>IF(SUMIF(L$2:L111,"&lt;0")&lt;0,SUMIF(L$2:L111,"&gt;0")/ABS(SUMIF(L$2:L111,"&lt;0")),"")</f>
        <v/>
      </c>
      <c r="T111" s="2">
        <f>IF(SUM(H$2:H111)&gt;0,SUM(L$2:L111)/SUM(H$2:H111),"")</f>
        <v/>
      </c>
      <c r="U111" s="2" t="n"/>
      <c r="V111" s="2" t="n"/>
      <c r="AE111">
        <f>IF(ISNUMBER(L111),IF(L111&lt;=-200,1,0),"")</f>
        <v/>
      </c>
      <c r="AG111">
        <f>IF(ISNUMBER(O111),IF(O111&lt;=-300,1,0),"")</f>
        <v/>
      </c>
    </row>
    <row r="112">
      <c r="J112" s="2" t="n"/>
      <c r="K112" s="2">
        <f>IF(ISNUMBER(I112),1.9*I112,"")</f>
        <v/>
      </c>
      <c r="L112" s="2">
        <f>IF(AND(ISNUMBER(J112),ISNUMBER(K112)),J112-K112,"")</f>
        <v/>
      </c>
      <c r="M112" s="2">
        <f>IF(ISNUMBER(L112),IF(ISNUMBER(M111),M111,0)+L112,IF(ISNUMBER(M111),M111,""))</f>
        <v/>
      </c>
      <c r="N112" s="2">
        <f>IF(ISNUMBER(M112),MAX(M$2:M112),"")</f>
        <v/>
      </c>
      <c r="O112" s="2">
        <f>IF(ISNUMBER(M112),M112-N112,"")</f>
        <v/>
      </c>
      <c r="R112" s="3">
        <f>IF(COUNT(L$2:L112)&gt;0,COUNTIF(L$2:L112,"&gt;0")/COUNT(L$2:L112)*100,"")</f>
        <v/>
      </c>
      <c r="S112" s="3">
        <f>IF(SUMIF(L$2:L112,"&lt;0")&lt;0,SUMIF(L$2:L112,"&gt;0")/ABS(SUMIF(L$2:L112,"&lt;0")),"")</f>
        <v/>
      </c>
      <c r="T112" s="2">
        <f>IF(SUM(H$2:H112)&gt;0,SUM(L$2:L112)/SUM(H$2:H112),"")</f>
        <v/>
      </c>
      <c r="U112" s="2" t="n"/>
      <c r="V112" s="2" t="n"/>
      <c r="AE112">
        <f>IF(ISNUMBER(L112),IF(L112&lt;=-200,1,0),"")</f>
        <v/>
      </c>
      <c r="AG112">
        <f>IF(ISNUMBER(O112),IF(O112&lt;=-300,1,0),"")</f>
        <v/>
      </c>
    </row>
    <row r="113">
      <c r="J113" s="2" t="n"/>
      <c r="K113" s="2">
        <f>IF(ISNUMBER(I113),1.9*I113,"")</f>
        <v/>
      </c>
      <c r="L113" s="2">
        <f>IF(AND(ISNUMBER(J113),ISNUMBER(K113)),J113-K113,"")</f>
        <v/>
      </c>
      <c r="M113" s="2">
        <f>IF(ISNUMBER(L113),IF(ISNUMBER(M112),M112,0)+L113,IF(ISNUMBER(M112),M112,""))</f>
        <v/>
      </c>
      <c r="N113" s="2">
        <f>IF(ISNUMBER(M113),MAX(M$2:M113),"")</f>
        <v/>
      </c>
      <c r="O113" s="2">
        <f>IF(ISNUMBER(M113),M113-N113,"")</f>
        <v/>
      </c>
      <c r="R113" s="3">
        <f>IF(COUNT(L$2:L113)&gt;0,COUNTIF(L$2:L113,"&gt;0")/COUNT(L$2:L113)*100,"")</f>
        <v/>
      </c>
      <c r="S113" s="3">
        <f>IF(SUMIF(L$2:L113,"&lt;0")&lt;0,SUMIF(L$2:L113,"&gt;0")/ABS(SUMIF(L$2:L113,"&lt;0")),"")</f>
        <v/>
      </c>
      <c r="T113" s="2">
        <f>IF(SUM(H$2:H113)&gt;0,SUM(L$2:L113)/SUM(H$2:H113),"")</f>
        <v/>
      </c>
      <c r="U113" s="2" t="n"/>
      <c r="V113" s="2" t="n"/>
      <c r="AE113">
        <f>IF(ISNUMBER(L113),IF(L113&lt;=-200,1,0),"")</f>
        <v/>
      </c>
      <c r="AG113">
        <f>IF(ISNUMBER(O113),IF(O113&lt;=-300,1,0),"")</f>
        <v/>
      </c>
    </row>
    <row r="114">
      <c r="J114" s="2" t="n"/>
      <c r="K114" s="2">
        <f>IF(ISNUMBER(I114),1.9*I114,"")</f>
        <v/>
      </c>
      <c r="L114" s="2">
        <f>IF(AND(ISNUMBER(J114),ISNUMBER(K114)),J114-K114,"")</f>
        <v/>
      </c>
      <c r="M114" s="2">
        <f>IF(ISNUMBER(L114),IF(ISNUMBER(M113),M113,0)+L114,IF(ISNUMBER(M113),M113,""))</f>
        <v/>
      </c>
      <c r="N114" s="2">
        <f>IF(ISNUMBER(M114),MAX(M$2:M114),"")</f>
        <v/>
      </c>
      <c r="O114" s="2">
        <f>IF(ISNUMBER(M114),M114-N114,"")</f>
        <v/>
      </c>
      <c r="R114" s="3">
        <f>IF(COUNT(L$2:L114)&gt;0,COUNTIF(L$2:L114,"&gt;0")/COUNT(L$2:L114)*100,"")</f>
        <v/>
      </c>
      <c r="S114" s="3">
        <f>IF(SUMIF(L$2:L114,"&lt;0")&lt;0,SUMIF(L$2:L114,"&gt;0")/ABS(SUMIF(L$2:L114,"&lt;0")),"")</f>
        <v/>
      </c>
      <c r="T114" s="2">
        <f>IF(SUM(H$2:H114)&gt;0,SUM(L$2:L114)/SUM(H$2:H114),"")</f>
        <v/>
      </c>
      <c r="U114" s="2" t="n"/>
      <c r="V114" s="2" t="n"/>
      <c r="AE114">
        <f>IF(ISNUMBER(L114),IF(L114&lt;=-200,1,0),"")</f>
        <v/>
      </c>
      <c r="AG114">
        <f>IF(ISNUMBER(O114),IF(O114&lt;=-300,1,0),"")</f>
        <v/>
      </c>
    </row>
    <row r="115">
      <c r="J115" s="2" t="n"/>
      <c r="K115" s="2">
        <f>IF(ISNUMBER(I115),1.9*I115,"")</f>
        <v/>
      </c>
      <c r="L115" s="2">
        <f>IF(AND(ISNUMBER(J115),ISNUMBER(K115)),J115-K115,"")</f>
        <v/>
      </c>
      <c r="M115" s="2">
        <f>IF(ISNUMBER(L115),IF(ISNUMBER(M114),M114,0)+L115,IF(ISNUMBER(M114),M114,""))</f>
        <v/>
      </c>
      <c r="N115" s="2">
        <f>IF(ISNUMBER(M115),MAX(M$2:M115),"")</f>
        <v/>
      </c>
      <c r="O115" s="2">
        <f>IF(ISNUMBER(M115),M115-N115,"")</f>
        <v/>
      </c>
      <c r="R115" s="3">
        <f>IF(COUNT(L$2:L115)&gt;0,COUNTIF(L$2:L115,"&gt;0")/COUNT(L$2:L115)*100,"")</f>
        <v/>
      </c>
      <c r="S115" s="3">
        <f>IF(SUMIF(L$2:L115,"&lt;0")&lt;0,SUMIF(L$2:L115,"&gt;0")/ABS(SUMIF(L$2:L115,"&lt;0")),"")</f>
        <v/>
      </c>
      <c r="T115" s="2">
        <f>IF(SUM(H$2:H115)&gt;0,SUM(L$2:L115)/SUM(H$2:H115),"")</f>
        <v/>
      </c>
      <c r="U115" s="2" t="n"/>
      <c r="V115" s="2" t="n"/>
      <c r="AE115">
        <f>IF(ISNUMBER(L115),IF(L115&lt;=-200,1,0),"")</f>
        <v/>
      </c>
      <c r="AG115">
        <f>IF(ISNUMBER(O115),IF(O115&lt;=-300,1,0),"")</f>
        <v/>
      </c>
    </row>
    <row r="116">
      <c r="J116" s="2" t="n"/>
      <c r="K116" s="2">
        <f>IF(ISNUMBER(I116),1.9*I116,"")</f>
        <v/>
      </c>
      <c r="L116" s="2">
        <f>IF(AND(ISNUMBER(J116),ISNUMBER(K116)),J116-K116,"")</f>
        <v/>
      </c>
      <c r="M116" s="2">
        <f>IF(ISNUMBER(L116),IF(ISNUMBER(M115),M115,0)+L116,IF(ISNUMBER(M115),M115,""))</f>
        <v/>
      </c>
      <c r="N116" s="2">
        <f>IF(ISNUMBER(M116),MAX(M$2:M116),"")</f>
        <v/>
      </c>
      <c r="O116" s="2">
        <f>IF(ISNUMBER(M116),M116-N116,"")</f>
        <v/>
      </c>
      <c r="R116" s="3">
        <f>IF(COUNT(L$2:L116)&gt;0,COUNTIF(L$2:L116,"&gt;0")/COUNT(L$2:L116)*100,"")</f>
        <v/>
      </c>
      <c r="S116" s="3">
        <f>IF(SUMIF(L$2:L116,"&lt;0")&lt;0,SUMIF(L$2:L116,"&gt;0")/ABS(SUMIF(L$2:L116,"&lt;0")),"")</f>
        <v/>
      </c>
      <c r="T116" s="2">
        <f>IF(SUM(H$2:H116)&gt;0,SUM(L$2:L116)/SUM(H$2:H116),"")</f>
        <v/>
      </c>
      <c r="U116" s="2" t="n"/>
      <c r="V116" s="2" t="n"/>
      <c r="AE116">
        <f>IF(ISNUMBER(L116),IF(L116&lt;=-200,1,0),"")</f>
        <v/>
      </c>
      <c r="AG116">
        <f>IF(ISNUMBER(O116),IF(O116&lt;=-300,1,0),"")</f>
        <v/>
      </c>
    </row>
    <row r="117">
      <c r="J117" s="2" t="n"/>
      <c r="K117" s="2">
        <f>IF(ISNUMBER(I117),1.9*I117,"")</f>
        <v/>
      </c>
      <c r="L117" s="2">
        <f>IF(AND(ISNUMBER(J117),ISNUMBER(K117)),J117-K117,"")</f>
        <v/>
      </c>
      <c r="M117" s="2">
        <f>IF(ISNUMBER(L117),IF(ISNUMBER(M116),M116,0)+L117,IF(ISNUMBER(M116),M116,""))</f>
        <v/>
      </c>
      <c r="N117" s="2">
        <f>IF(ISNUMBER(M117),MAX(M$2:M117),"")</f>
        <v/>
      </c>
      <c r="O117" s="2">
        <f>IF(ISNUMBER(M117),M117-N117,"")</f>
        <v/>
      </c>
      <c r="R117" s="3">
        <f>IF(COUNT(L$2:L117)&gt;0,COUNTIF(L$2:L117,"&gt;0")/COUNT(L$2:L117)*100,"")</f>
        <v/>
      </c>
      <c r="S117" s="3">
        <f>IF(SUMIF(L$2:L117,"&lt;0")&lt;0,SUMIF(L$2:L117,"&gt;0")/ABS(SUMIF(L$2:L117,"&lt;0")),"")</f>
        <v/>
      </c>
      <c r="T117" s="2">
        <f>IF(SUM(H$2:H117)&gt;0,SUM(L$2:L117)/SUM(H$2:H117),"")</f>
        <v/>
      </c>
      <c r="U117" s="2" t="n"/>
      <c r="V117" s="2" t="n"/>
      <c r="AE117">
        <f>IF(ISNUMBER(L117),IF(L117&lt;=-200,1,0),"")</f>
        <v/>
      </c>
      <c r="AG117">
        <f>IF(ISNUMBER(O117),IF(O117&lt;=-300,1,0),"")</f>
        <v/>
      </c>
    </row>
    <row r="118">
      <c r="J118" s="2" t="n"/>
      <c r="K118" s="2">
        <f>IF(ISNUMBER(I118),1.9*I118,"")</f>
        <v/>
      </c>
      <c r="L118" s="2">
        <f>IF(AND(ISNUMBER(J118),ISNUMBER(K118)),J118-K118,"")</f>
        <v/>
      </c>
      <c r="M118" s="2">
        <f>IF(ISNUMBER(L118),IF(ISNUMBER(M117),M117,0)+L118,IF(ISNUMBER(M117),M117,""))</f>
        <v/>
      </c>
      <c r="N118" s="2">
        <f>IF(ISNUMBER(M118),MAX(M$2:M118),"")</f>
        <v/>
      </c>
      <c r="O118" s="2">
        <f>IF(ISNUMBER(M118),M118-N118,"")</f>
        <v/>
      </c>
      <c r="R118" s="3">
        <f>IF(COUNT(L$2:L118)&gt;0,COUNTIF(L$2:L118,"&gt;0")/COUNT(L$2:L118)*100,"")</f>
        <v/>
      </c>
      <c r="S118" s="3">
        <f>IF(SUMIF(L$2:L118,"&lt;0")&lt;0,SUMIF(L$2:L118,"&gt;0")/ABS(SUMIF(L$2:L118,"&lt;0")),"")</f>
        <v/>
      </c>
      <c r="T118" s="2">
        <f>IF(SUM(H$2:H118)&gt;0,SUM(L$2:L118)/SUM(H$2:H118),"")</f>
        <v/>
      </c>
      <c r="U118" s="2" t="n"/>
      <c r="V118" s="2" t="n"/>
      <c r="AE118">
        <f>IF(ISNUMBER(L118),IF(L118&lt;=-200,1,0),"")</f>
        <v/>
      </c>
      <c r="AG118">
        <f>IF(ISNUMBER(O118),IF(O118&lt;=-300,1,0),"")</f>
        <v/>
      </c>
    </row>
    <row r="119">
      <c r="J119" s="2" t="n"/>
      <c r="K119" s="2">
        <f>IF(ISNUMBER(I119),1.9*I119,"")</f>
        <v/>
      </c>
      <c r="L119" s="2">
        <f>IF(AND(ISNUMBER(J119),ISNUMBER(K119)),J119-K119,"")</f>
        <v/>
      </c>
      <c r="M119" s="2">
        <f>IF(ISNUMBER(L119),IF(ISNUMBER(M118),M118,0)+L119,IF(ISNUMBER(M118),M118,""))</f>
        <v/>
      </c>
      <c r="N119" s="2">
        <f>IF(ISNUMBER(M119),MAX(M$2:M119),"")</f>
        <v/>
      </c>
      <c r="O119" s="2">
        <f>IF(ISNUMBER(M119),M119-N119,"")</f>
        <v/>
      </c>
      <c r="R119" s="3">
        <f>IF(COUNT(L$2:L119)&gt;0,COUNTIF(L$2:L119,"&gt;0")/COUNT(L$2:L119)*100,"")</f>
        <v/>
      </c>
      <c r="S119" s="3">
        <f>IF(SUMIF(L$2:L119,"&lt;0")&lt;0,SUMIF(L$2:L119,"&gt;0")/ABS(SUMIF(L$2:L119,"&lt;0")),"")</f>
        <v/>
      </c>
      <c r="T119" s="2">
        <f>IF(SUM(H$2:H119)&gt;0,SUM(L$2:L119)/SUM(H$2:H119),"")</f>
        <v/>
      </c>
      <c r="U119" s="2" t="n"/>
      <c r="V119" s="2" t="n"/>
      <c r="AE119">
        <f>IF(ISNUMBER(L119),IF(L119&lt;=-200,1,0),"")</f>
        <v/>
      </c>
      <c r="AG119">
        <f>IF(ISNUMBER(O119),IF(O119&lt;=-300,1,0),"")</f>
        <v/>
      </c>
    </row>
    <row r="120">
      <c r="J120" s="2" t="n"/>
      <c r="K120" s="2">
        <f>IF(ISNUMBER(I120),1.9*I120,"")</f>
        <v/>
      </c>
      <c r="L120" s="2">
        <f>IF(AND(ISNUMBER(J120),ISNUMBER(K120)),J120-K120,"")</f>
        <v/>
      </c>
      <c r="M120" s="2">
        <f>IF(ISNUMBER(L120),IF(ISNUMBER(M119),M119,0)+L120,IF(ISNUMBER(M119),M119,""))</f>
        <v/>
      </c>
      <c r="N120" s="2">
        <f>IF(ISNUMBER(M120),MAX(M$2:M120),"")</f>
        <v/>
      </c>
      <c r="O120" s="2">
        <f>IF(ISNUMBER(M120),M120-N120,"")</f>
        <v/>
      </c>
      <c r="R120" s="3">
        <f>IF(COUNT(L$2:L120)&gt;0,COUNTIF(L$2:L120,"&gt;0")/COUNT(L$2:L120)*100,"")</f>
        <v/>
      </c>
      <c r="S120" s="3">
        <f>IF(SUMIF(L$2:L120,"&lt;0")&lt;0,SUMIF(L$2:L120,"&gt;0")/ABS(SUMIF(L$2:L120,"&lt;0")),"")</f>
        <v/>
      </c>
      <c r="T120" s="2">
        <f>IF(SUM(H$2:H120)&gt;0,SUM(L$2:L120)/SUM(H$2:H120),"")</f>
        <v/>
      </c>
      <c r="U120" s="2" t="n"/>
      <c r="V120" s="2" t="n"/>
      <c r="AE120">
        <f>IF(ISNUMBER(L120),IF(L120&lt;=-200,1,0),"")</f>
        <v/>
      </c>
      <c r="AG120">
        <f>IF(ISNUMBER(O120),IF(O120&lt;=-300,1,0),"")</f>
        <v/>
      </c>
    </row>
    <row r="121">
      <c r="J121" s="2" t="n"/>
      <c r="K121" s="2">
        <f>IF(ISNUMBER(I121),1.9*I121,"")</f>
        <v/>
      </c>
      <c r="L121" s="2">
        <f>IF(AND(ISNUMBER(J121),ISNUMBER(K121)),J121-K121,"")</f>
        <v/>
      </c>
      <c r="M121" s="2">
        <f>IF(ISNUMBER(L121),IF(ISNUMBER(M120),M120,0)+L121,IF(ISNUMBER(M120),M120,""))</f>
        <v/>
      </c>
      <c r="N121" s="2">
        <f>IF(ISNUMBER(M121),MAX(M$2:M121),"")</f>
        <v/>
      </c>
      <c r="O121" s="2">
        <f>IF(ISNUMBER(M121),M121-N121,"")</f>
        <v/>
      </c>
      <c r="R121" s="3">
        <f>IF(COUNT(L$2:L121)&gt;0,COUNTIF(L$2:L121,"&gt;0")/COUNT(L$2:L121)*100,"")</f>
        <v/>
      </c>
      <c r="S121" s="3">
        <f>IF(SUMIF(L$2:L121,"&lt;0")&lt;0,SUMIF(L$2:L121,"&gt;0")/ABS(SUMIF(L$2:L121,"&lt;0")),"")</f>
        <v/>
      </c>
      <c r="T121" s="2">
        <f>IF(SUM(H$2:H121)&gt;0,SUM(L$2:L121)/SUM(H$2:H121),"")</f>
        <v/>
      </c>
      <c r="U121" s="2" t="n"/>
      <c r="V121" s="2" t="n"/>
      <c r="AE121">
        <f>IF(ISNUMBER(L121),IF(L121&lt;=-200,1,0),"")</f>
        <v/>
      </c>
      <c r="AG121">
        <f>IF(ISNUMBER(O121),IF(O121&lt;=-300,1,0),"")</f>
        <v/>
      </c>
    </row>
    <row r="122">
      <c r="J122" s="2" t="n"/>
      <c r="K122" s="2">
        <f>IF(ISNUMBER(I122),1.9*I122,"")</f>
        <v/>
      </c>
      <c r="L122" s="2">
        <f>IF(AND(ISNUMBER(J122),ISNUMBER(K122)),J122-K122,"")</f>
        <v/>
      </c>
      <c r="M122" s="2">
        <f>IF(ISNUMBER(L122),IF(ISNUMBER(M121),M121,0)+L122,IF(ISNUMBER(M121),M121,""))</f>
        <v/>
      </c>
      <c r="N122" s="2">
        <f>IF(ISNUMBER(M122),MAX(M$2:M122),"")</f>
        <v/>
      </c>
      <c r="O122" s="2">
        <f>IF(ISNUMBER(M122),M122-N122,"")</f>
        <v/>
      </c>
      <c r="R122" s="3">
        <f>IF(COUNT(L$2:L122)&gt;0,COUNTIF(L$2:L122,"&gt;0")/COUNT(L$2:L122)*100,"")</f>
        <v/>
      </c>
      <c r="S122" s="3">
        <f>IF(SUMIF(L$2:L122,"&lt;0")&lt;0,SUMIF(L$2:L122,"&gt;0")/ABS(SUMIF(L$2:L122,"&lt;0")),"")</f>
        <v/>
      </c>
      <c r="T122" s="2">
        <f>IF(SUM(H$2:H122)&gt;0,SUM(L$2:L122)/SUM(H$2:H122),"")</f>
        <v/>
      </c>
      <c r="U122" s="2" t="n"/>
      <c r="V122" s="2" t="n"/>
      <c r="AE122">
        <f>IF(ISNUMBER(L122),IF(L122&lt;=-200,1,0),"")</f>
        <v/>
      </c>
      <c r="AG122">
        <f>IF(ISNUMBER(O122),IF(O122&lt;=-300,1,0),"")</f>
        <v/>
      </c>
    </row>
    <row r="123">
      <c r="J123" s="2" t="n"/>
      <c r="K123" s="2">
        <f>IF(ISNUMBER(I123),1.9*I123,"")</f>
        <v/>
      </c>
      <c r="L123" s="2">
        <f>IF(AND(ISNUMBER(J123),ISNUMBER(K123)),J123-K123,"")</f>
        <v/>
      </c>
      <c r="M123" s="2">
        <f>IF(ISNUMBER(L123),IF(ISNUMBER(M122),M122,0)+L123,IF(ISNUMBER(M122),M122,""))</f>
        <v/>
      </c>
      <c r="N123" s="2">
        <f>IF(ISNUMBER(M123),MAX(M$2:M123),"")</f>
        <v/>
      </c>
      <c r="O123" s="2">
        <f>IF(ISNUMBER(M123),M123-N123,"")</f>
        <v/>
      </c>
      <c r="R123" s="3">
        <f>IF(COUNT(L$2:L123)&gt;0,COUNTIF(L$2:L123,"&gt;0")/COUNT(L$2:L123)*100,"")</f>
        <v/>
      </c>
      <c r="S123" s="3">
        <f>IF(SUMIF(L$2:L123,"&lt;0")&lt;0,SUMIF(L$2:L123,"&gt;0")/ABS(SUMIF(L$2:L123,"&lt;0")),"")</f>
        <v/>
      </c>
      <c r="T123" s="2">
        <f>IF(SUM(H$2:H123)&gt;0,SUM(L$2:L123)/SUM(H$2:H123),"")</f>
        <v/>
      </c>
      <c r="U123" s="2" t="n"/>
      <c r="V123" s="2" t="n"/>
      <c r="AE123">
        <f>IF(ISNUMBER(L123),IF(L123&lt;=-200,1,0),"")</f>
        <v/>
      </c>
      <c r="AG123">
        <f>IF(ISNUMBER(O123),IF(O123&lt;=-300,1,0),"")</f>
        <v/>
      </c>
    </row>
    <row r="124">
      <c r="J124" s="2" t="n"/>
      <c r="K124" s="2">
        <f>IF(ISNUMBER(I124),1.9*I124,"")</f>
        <v/>
      </c>
      <c r="L124" s="2">
        <f>IF(AND(ISNUMBER(J124),ISNUMBER(K124)),J124-K124,"")</f>
        <v/>
      </c>
      <c r="M124" s="2">
        <f>IF(ISNUMBER(L124),IF(ISNUMBER(M123),M123,0)+L124,IF(ISNUMBER(M123),M123,""))</f>
        <v/>
      </c>
      <c r="N124" s="2">
        <f>IF(ISNUMBER(M124),MAX(M$2:M124),"")</f>
        <v/>
      </c>
      <c r="O124" s="2">
        <f>IF(ISNUMBER(M124),M124-N124,"")</f>
        <v/>
      </c>
      <c r="R124" s="3">
        <f>IF(COUNT(L$2:L124)&gt;0,COUNTIF(L$2:L124,"&gt;0")/COUNT(L$2:L124)*100,"")</f>
        <v/>
      </c>
      <c r="S124" s="3">
        <f>IF(SUMIF(L$2:L124,"&lt;0")&lt;0,SUMIF(L$2:L124,"&gt;0")/ABS(SUMIF(L$2:L124,"&lt;0")),"")</f>
        <v/>
      </c>
      <c r="T124" s="2">
        <f>IF(SUM(H$2:H124)&gt;0,SUM(L$2:L124)/SUM(H$2:H124),"")</f>
        <v/>
      </c>
      <c r="U124" s="2" t="n"/>
      <c r="V124" s="2" t="n"/>
      <c r="AE124">
        <f>IF(ISNUMBER(L124),IF(L124&lt;=-200,1,0),"")</f>
        <v/>
      </c>
      <c r="AG124">
        <f>IF(ISNUMBER(O124),IF(O124&lt;=-300,1,0),"")</f>
        <v/>
      </c>
    </row>
    <row r="125">
      <c r="J125" s="2" t="n"/>
      <c r="K125" s="2">
        <f>IF(ISNUMBER(I125),1.9*I125,"")</f>
        <v/>
      </c>
      <c r="L125" s="2">
        <f>IF(AND(ISNUMBER(J125),ISNUMBER(K125)),J125-K125,"")</f>
        <v/>
      </c>
      <c r="M125" s="2">
        <f>IF(ISNUMBER(L125),IF(ISNUMBER(M124),M124,0)+L125,IF(ISNUMBER(M124),M124,""))</f>
        <v/>
      </c>
      <c r="N125" s="2">
        <f>IF(ISNUMBER(M125),MAX(M$2:M125),"")</f>
        <v/>
      </c>
      <c r="O125" s="2">
        <f>IF(ISNUMBER(M125),M125-N125,"")</f>
        <v/>
      </c>
      <c r="R125" s="3">
        <f>IF(COUNT(L$2:L125)&gt;0,COUNTIF(L$2:L125,"&gt;0")/COUNT(L$2:L125)*100,"")</f>
        <v/>
      </c>
      <c r="S125" s="3">
        <f>IF(SUMIF(L$2:L125,"&lt;0")&lt;0,SUMIF(L$2:L125,"&gt;0")/ABS(SUMIF(L$2:L125,"&lt;0")),"")</f>
        <v/>
      </c>
      <c r="T125" s="2">
        <f>IF(SUM(H$2:H125)&gt;0,SUM(L$2:L125)/SUM(H$2:H125),"")</f>
        <v/>
      </c>
      <c r="U125" s="2" t="n"/>
      <c r="V125" s="2" t="n"/>
      <c r="AE125">
        <f>IF(ISNUMBER(L125),IF(L125&lt;=-200,1,0),"")</f>
        <v/>
      </c>
      <c r="AG125">
        <f>IF(ISNUMBER(O125),IF(O125&lt;=-300,1,0),"")</f>
        <v/>
      </c>
    </row>
    <row r="126">
      <c r="J126" s="2" t="n"/>
      <c r="K126" s="2">
        <f>IF(ISNUMBER(I126),1.9*I126,"")</f>
        <v/>
      </c>
      <c r="L126" s="2">
        <f>IF(AND(ISNUMBER(J126),ISNUMBER(K126)),J126-K126,"")</f>
        <v/>
      </c>
      <c r="M126" s="2">
        <f>IF(ISNUMBER(L126),IF(ISNUMBER(M125),M125,0)+L126,IF(ISNUMBER(M125),M125,""))</f>
        <v/>
      </c>
      <c r="N126" s="2">
        <f>IF(ISNUMBER(M126),MAX(M$2:M126),"")</f>
        <v/>
      </c>
      <c r="O126" s="2">
        <f>IF(ISNUMBER(M126),M126-N126,"")</f>
        <v/>
      </c>
      <c r="R126" s="3">
        <f>IF(COUNT(L$2:L126)&gt;0,COUNTIF(L$2:L126,"&gt;0")/COUNT(L$2:L126)*100,"")</f>
        <v/>
      </c>
      <c r="S126" s="3">
        <f>IF(SUMIF(L$2:L126,"&lt;0")&lt;0,SUMIF(L$2:L126,"&gt;0")/ABS(SUMIF(L$2:L126,"&lt;0")),"")</f>
        <v/>
      </c>
      <c r="T126" s="2">
        <f>IF(SUM(H$2:H126)&gt;0,SUM(L$2:L126)/SUM(H$2:H126),"")</f>
        <v/>
      </c>
      <c r="U126" s="2" t="n"/>
      <c r="V126" s="2" t="n"/>
      <c r="AE126">
        <f>IF(ISNUMBER(L126),IF(L126&lt;=-200,1,0),"")</f>
        <v/>
      </c>
      <c r="AG126">
        <f>IF(ISNUMBER(O126),IF(O126&lt;=-300,1,0),"")</f>
        <v/>
      </c>
    </row>
    <row r="127">
      <c r="J127" s="2" t="n"/>
      <c r="K127" s="2">
        <f>IF(ISNUMBER(I127),1.9*I127,"")</f>
        <v/>
      </c>
      <c r="L127" s="2">
        <f>IF(AND(ISNUMBER(J127),ISNUMBER(K127)),J127-K127,"")</f>
        <v/>
      </c>
      <c r="M127" s="2">
        <f>IF(ISNUMBER(L127),IF(ISNUMBER(M126),M126,0)+L127,IF(ISNUMBER(M126),M126,""))</f>
        <v/>
      </c>
      <c r="N127" s="2">
        <f>IF(ISNUMBER(M127),MAX(M$2:M127),"")</f>
        <v/>
      </c>
      <c r="O127" s="2">
        <f>IF(ISNUMBER(M127),M127-N127,"")</f>
        <v/>
      </c>
      <c r="R127" s="3">
        <f>IF(COUNT(L$2:L127)&gt;0,COUNTIF(L$2:L127,"&gt;0")/COUNT(L$2:L127)*100,"")</f>
        <v/>
      </c>
      <c r="S127" s="3">
        <f>IF(SUMIF(L$2:L127,"&lt;0")&lt;0,SUMIF(L$2:L127,"&gt;0")/ABS(SUMIF(L$2:L127,"&lt;0")),"")</f>
        <v/>
      </c>
      <c r="T127" s="2">
        <f>IF(SUM(H$2:H127)&gt;0,SUM(L$2:L127)/SUM(H$2:H127),"")</f>
        <v/>
      </c>
      <c r="U127" s="2" t="n"/>
      <c r="V127" s="2" t="n"/>
      <c r="AE127">
        <f>IF(ISNUMBER(L127),IF(L127&lt;=-200,1,0),"")</f>
        <v/>
      </c>
      <c r="AG127">
        <f>IF(ISNUMBER(O127),IF(O127&lt;=-300,1,0),"")</f>
        <v/>
      </c>
    </row>
    <row r="128">
      <c r="J128" s="2" t="n"/>
      <c r="K128" s="2">
        <f>IF(ISNUMBER(I128),1.9*I128,"")</f>
        <v/>
      </c>
      <c r="L128" s="2">
        <f>IF(AND(ISNUMBER(J128),ISNUMBER(K128)),J128-K128,"")</f>
        <v/>
      </c>
      <c r="M128" s="2">
        <f>IF(ISNUMBER(L128),IF(ISNUMBER(M127),M127,0)+L128,IF(ISNUMBER(M127),M127,""))</f>
        <v/>
      </c>
      <c r="N128" s="2">
        <f>IF(ISNUMBER(M128),MAX(M$2:M128),"")</f>
        <v/>
      </c>
      <c r="O128" s="2">
        <f>IF(ISNUMBER(M128),M128-N128,"")</f>
        <v/>
      </c>
      <c r="R128" s="3">
        <f>IF(COUNT(L$2:L128)&gt;0,COUNTIF(L$2:L128,"&gt;0")/COUNT(L$2:L128)*100,"")</f>
        <v/>
      </c>
      <c r="S128" s="3">
        <f>IF(SUMIF(L$2:L128,"&lt;0")&lt;0,SUMIF(L$2:L128,"&gt;0")/ABS(SUMIF(L$2:L128,"&lt;0")),"")</f>
        <v/>
      </c>
      <c r="T128" s="2">
        <f>IF(SUM(H$2:H128)&gt;0,SUM(L$2:L128)/SUM(H$2:H128),"")</f>
        <v/>
      </c>
      <c r="U128" s="2" t="n"/>
      <c r="V128" s="2" t="n"/>
      <c r="AE128">
        <f>IF(ISNUMBER(L128),IF(L128&lt;=-200,1,0),"")</f>
        <v/>
      </c>
      <c r="AG128">
        <f>IF(ISNUMBER(O128),IF(O128&lt;=-300,1,0),"")</f>
        <v/>
      </c>
    </row>
    <row r="129">
      <c r="J129" s="2" t="n"/>
      <c r="K129" s="2">
        <f>IF(ISNUMBER(I129),1.9*I129,"")</f>
        <v/>
      </c>
      <c r="L129" s="2">
        <f>IF(AND(ISNUMBER(J129),ISNUMBER(K129)),J129-K129,"")</f>
        <v/>
      </c>
      <c r="M129" s="2">
        <f>IF(ISNUMBER(L129),IF(ISNUMBER(M128),M128,0)+L129,IF(ISNUMBER(M128),M128,""))</f>
        <v/>
      </c>
      <c r="N129" s="2">
        <f>IF(ISNUMBER(M129),MAX(M$2:M129),"")</f>
        <v/>
      </c>
      <c r="O129" s="2">
        <f>IF(ISNUMBER(M129),M129-N129,"")</f>
        <v/>
      </c>
      <c r="R129" s="3">
        <f>IF(COUNT(L$2:L129)&gt;0,COUNTIF(L$2:L129,"&gt;0")/COUNT(L$2:L129)*100,"")</f>
        <v/>
      </c>
      <c r="S129" s="3">
        <f>IF(SUMIF(L$2:L129,"&lt;0")&lt;0,SUMIF(L$2:L129,"&gt;0")/ABS(SUMIF(L$2:L129,"&lt;0")),"")</f>
        <v/>
      </c>
      <c r="T129" s="2">
        <f>IF(SUM(H$2:H129)&gt;0,SUM(L$2:L129)/SUM(H$2:H129),"")</f>
        <v/>
      </c>
      <c r="U129" s="2" t="n"/>
      <c r="V129" s="2" t="n"/>
      <c r="AE129">
        <f>IF(ISNUMBER(L129),IF(L129&lt;=-200,1,0),"")</f>
        <v/>
      </c>
      <c r="AG129">
        <f>IF(ISNUMBER(O129),IF(O129&lt;=-300,1,0),"")</f>
        <v/>
      </c>
    </row>
    <row r="130">
      <c r="J130" s="2" t="n"/>
      <c r="K130" s="2">
        <f>IF(ISNUMBER(I130),1.9*I130,"")</f>
        <v/>
      </c>
      <c r="L130" s="2">
        <f>IF(AND(ISNUMBER(J130),ISNUMBER(K130)),J130-K130,"")</f>
        <v/>
      </c>
      <c r="M130" s="2">
        <f>IF(ISNUMBER(L130),IF(ISNUMBER(M129),M129,0)+L130,IF(ISNUMBER(M129),M129,""))</f>
        <v/>
      </c>
      <c r="N130" s="2">
        <f>IF(ISNUMBER(M130),MAX(M$2:M130),"")</f>
        <v/>
      </c>
      <c r="O130" s="2">
        <f>IF(ISNUMBER(M130),M130-N130,"")</f>
        <v/>
      </c>
      <c r="R130" s="3">
        <f>IF(COUNT(L$2:L130)&gt;0,COUNTIF(L$2:L130,"&gt;0")/COUNT(L$2:L130)*100,"")</f>
        <v/>
      </c>
      <c r="S130" s="3">
        <f>IF(SUMIF(L$2:L130,"&lt;0")&lt;0,SUMIF(L$2:L130,"&gt;0")/ABS(SUMIF(L$2:L130,"&lt;0")),"")</f>
        <v/>
      </c>
      <c r="T130" s="2">
        <f>IF(SUM(H$2:H130)&gt;0,SUM(L$2:L130)/SUM(H$2:H130),"")</f>
        <v/>
      </c>
      <c r="U130" s="2" t="n"/>
      <c r="V130" s="2" t="n"/>
      <c r="AE130">
        <f>IF(ISNUMBER(L130),IF(L130&lt;=-200,1,0),"")</f>
        <v/>
      </c>
      <c r="AG130">
        <f>IF(ISNUMBER(O130),IF(O130&lt;=-300,1,0),"")</f>
        <v/>
      </c>
    </row>
    <row r="131">
      <c r="J131" s="2" t="n"/>
      <c r="K131" s="2">
        <f>IF(ISNUMBER(I131),1.9*I131,"")</f>
        <v/>
      </c>
      <c r="L131" s="2">
        <f>IF(AND(ISNUMBER(J131),ISNUMBER(K131)),J131-K131,"")</f>
        <v/>
      </c>
      <c r="M131" s="2">
        <f>IF(ISNUMBER(L131),IF(ISNUMBER(M130),M130,0)+L131,IF(ISNUMBER(M130),M130,""))</f>
        <v/>
      </c>
      <c r="N131" s="2">
        <f>IF(ISNUMBER(M131),MAX(M$2:M131),"")</f>
        <v/>
      </c>
      <c r="O131" s="2">
        <f>IF(ISNUMBER(M131),M131-N131,"")</f>
        <v/>
      </c>
      <c r="R131" s="3">
        <f>IF(COUNT(L$2:L131)&gt;0,COUNTIF(L$2:L131,"&gt;0")/COUNT(L$2:L131)*100,"")</f>
        <v/>
      </c>
      <c r="S131" s="3">
        <f>IF(SUMIF(L$2:L131,"&lt;0")&lt;0,SUMIF(L$2:L131,"&gt;0")/ABS(SUMIF(L$2:L131,"&lt;0")),"")</f>
        <v/>
      </c>
      <c r="T131" s="2">
        <f>IF(SUM(H$2:H131)&gt;0,SUM(L$2:L131)/SUM(H$2:H131),"")</f>
        <v/>
      </c>
      <c r="U131" s="2" t="n"/>
      <c r="V131" s="2" t="n"/>
      <c r="AE131">
        <f>IF(ISNUMBER(L131),IF(L131&lt;=-200,1,0),"")</f>
        <v/>
      </c>
      <c r="AG131">
        <f>IF(ISNUMBER(O131),IF(O131&lt;=-300,1,0),"")</f>
        <v/>
      </c>
    </row>
    <row r="132">
      <c r="J132" s="2" t="n"/>
      <c r="K132" s="2">
        <f>IF(ISNUMBER(I132),1.9*I132,"")</f>
        <v/>
      </c>
      <c r="L132" s="2">
        <f>IF(AND(ISNUMBER(J132),ISNUMBER(K132)),J132-K132,"")</f>
        <v/>
      </c>
      <c r="M132" s="2">
        <f>IF(ISNUMBER(L132),IF(ISNUMBER(M131),M131,0)+L132,IF(ISNUMBER(M131),M131,""))</f>
        <v/>
      </c>
      <c r="N132" s="2">
        <f>IF(ISNUMBER(M132),MAX(M$2:M132),"")</f>
        <v/>
      </c>
      <c r="O132" s="2">
        <f>IF(ISNUMBER(M132),M132-N132,"")</f>
        <v/>
      </c>
      <c r="R132" s="3">
        <f>IF(COUNT(L$2:L132)&gt;0,COUNTIF(L$2:L132,"&gt;0")/COUNT(L$2:L132)*100,"")</f>
        <v/>
      </c>
      <c r="S132" s="3">
        <f>IF(SUMIF(L$2:L132,"&lt;0")&lt;0,SUMIF(L$2:L132,"&gt;0")/ABS(SUMIF(L$2:L132,"&lt;0")),"")</f>
        <v/>
      </c>
      <c r="T132" s="2">
        <f>IF(SUM(H$2:H132)&gt;0,SUM(L$2:L132)/SUM(H$2:H132),"")</f>
        <v/>
      </c>
      <c r="U132" s="2" t="n"/>
      <c r="V132" s="2" t="n"/>
      <c r="AE132">
        <f>IF(ISNUMBER(L132),IF(L132&lt;=-200,1,0),"")</f>
        <v/>
      </c>
      <c r="AG132">
        <f>IF(ISNUMBER(O132),IF(O132&lt;=-300,1,0),"")</f>
        <v/>
      </c>
    </row>
    <row r="133">
      <c r="J133" s="2" t="n"/>
      <c r="K133" s="2">
        <f>IF(ISNUMBER(I133),1.9*I133,"")</f>
        <v/>
      </c>
      <c r="L133" s="2">
        <f>IF(AND(ISNUMBER(J133),ISNUMBER(K133)),J133-K133,"")</f>
        <v/>
      </c>
      <c r="M133" s="2">
        <f>IF(ISNUMBER(L133),IF(ISNUMBER(M132),M132,0)+L133,IF(ISNUMBER(M132),M132,""))</f>
        <v/>
      </c>
      <c r="N133" s="2">
        <f>IF(ISNUMBER(M133),MAX(M$2:M133),"")</f>
        <v/>
      </c>
      <c r="O133" s="2">
        <f>IF(ISNUMBER(M133),M133-N133,"")</f>
        <v/>
      </c>
      <c r="R133" s="3">
        <f>IF(COUNT(L$2:L133)&gt;0,COUNTIF(L$2:L133,"&gt;0")/COUNT(L$2:L133)*100,"")</f>
        <v/>
      </c>
      <c r="S133" s="3">
        <f>IF(SUMIF(L$2:L133,"&lt;0")&lt;0,SUMIF(L$2:L133,"&gt;0")/ABS(SUMIF(L$2:L133,"&lt;0")),"")</f>
        <v/>
      </c>
      <c r="T133" s="2">
        <f>IF(SUM(H$2:H133)&gt;0,SUM(L$2:L133)/SUM(H$2:H133),"")</f>
        <v/>
      </c>
      <c r="U133" s="2" t="n"/>
      <c r="V133" s="2" t="n"/>
      <c r="AE133">
        <f>IF(ISNUMBER(L133),IF(L133&lt;=-200,1,0),"")</f>
        <v/>
      </c>
      <c r="AG133">
        <f>IF(ISNUMBER(O133),IF(O133&lt;=-300,1,0),"")</f>
        <v/>
      </c>
    </row>
    <row r="134">
      <c r="J134" s="2" t="n"/>
      <c r="K134" s="2">
        <f>IF(ISNUMBER(I134),1.9*I134,"")</f>
        <v/>
      </c>
      <c r="L134" s="2">
        <f>IF(AND(ISNUMBER(J134),ISNUMBER(K134)),J134-K134,"")</f>
        <v/>
      </c>
      <c r="M134" s="2">
        <f>IF(ISNUMBER(L134),IF(ISNUMBER(M133),M133,0)+L134,IF(ISNUMBER(M133),M133,""))</f>
        <v/>
      </c>
      <c r="N134" s="2">
        <f>IF(ISNUMBER(M134),MAX(M$2:M134),"")</f>
        <v/>
      </c>
      <c r="O134" s="2">
        <f>IF(ISNUMBER(M134),M134-N134,"")</f>
        <v/>
      </c>
      <c r="R134" s="3">
        <f>IF(COUNT(L$2:L134)&gt;0,COUNTIF(L$2:L134,"&gt;0")/COUNT(L$2:L134)*100,"")</f>
        <v/>
      </c>
      <c r="S134" s="3">
        <f>IF(SUMIF(L$2:L134,"&lt;0")&lt;0,SUMIF(L$2:L134,"&gt;0")/ABS(SUMIF(L$2:L134,"&lt;0")),"")</f>
        <v/>
      </c>
      <c r="T134" s="2">
        <f>IF(SUM(H$2:H134)&gt;0,SUM(L$2:L134)/SUM(H$2:H134),"")</f>
        <v/>
      </c>
      <c r="U134" s="2" t="n"/>
      <c r="V134" s="2" t="n"/>
      <c r="AE134">
        <f>IF(ISNUMBER(L134),IF(L134&lt;=-200,1,0),"")</f>
        <v/>
      </c>
      <c r="AG134">
        <f>IF(ISNUMBER(O134),IF(O134&lt;=-300,1,0),"")</f>
        <v/>
      </c>
    </row>
    <row r="135">
      <c r="J135" s="2" t="n"/>
      <c r="K135" s="2">
        <f>IF(ISNUMBER(I135),1.9*I135,"")</f>
        <v/>
      </c>
      <c r="L135" s="2">
        <f>IF(AND(ISNUMBER(J135),ISNUMBER(K135)),J135-K135,"")</f>
        <v/>
      </c>
      <c r="M135" s="2">
        <f>IF(ISNUMBER(L135),IF(ISNUMBER(M134),M134,0)+L135,IF(ISNUMBER(M134),M134,""))</f>
        <v/>
      </c>
      <c r="N135" s="2">
        <f>IF(ISNUMBER(M135),MAX(M$2:M135),"")</f>
        <v/>
      </c>
      <c r="O135" s="2">
        <f>IF(ISNUMBER(M135),M135-N135,"")</f>
        <v/>
      </c>
      <c r="R135" s="3">
        <f>IF(COUNT(L$2:L135)&gt;0,COUNTIF(L$2:L135,"&gt;0")/COUNT(L$2:L135)*100,"")</f>
        <v/>
      </c>
      <c r="S135" s="3">
        <f>IF(SUMIF(L$2:L135,"&lt;0")&lt;0,SUMIF(L$2:L135,"&gt;0")/ABS(SUMIF(L$2:L135,"&lt;0")),"")</f>
        <v/>
      </c>
      <c r="T135" s="2">
        <f>IF(SUM(H$2:H135)&gt;0,SUM(L$2:L135)/SUM(H$2:H135),"")</f>
        <v/>
      </c>
      <c r="U135" s="2" t="n"/>
      <c r="V135" s="2" t="n"/>
      <c r="AE135">
        <f>IF(ISNUMBER(L135),IF(L135&lt;=-200,1,0),"")</f>
        <v/>
      </c>
      <c r="AG135">
        <f>IF(ISNUMBER(O135),IF(O135&lt;=-300,1,0),"")</f>
        <v/>
      </c>
    </row>
    <row r="136">
      <c r="J136" s="2" t="n"/>
      <c r="K136" s="2">
        <f>IF(ISNUMBER(I136),1.9*I136,"")</f>
        <v/>
      </c>
      <c r="L136" s="2">
        <f>IF(AND(ISNUMBER(J136),ISNUMBER(K136)),J136-K136,"")</f>
        <v/>
      </c>
      <c r="M136" s="2">
        <f>IF(ISNUMBER(L136),IF(ISNUMBER(M135),M135,0)+L136,IF(ISNUMBER(M135),M135,""))</f>
        <v/>
      </c>
      <c r="N136" s="2">
        <f>IF(ISNUMBER(M136),MAX(M$2:M136),"")</f>
        <v/>
      </c>
      <c r="O136" s="2">
        <f>IF(ISNUMBER(M136),M136-N136,"")</f>
        <v/>
      </c>
      <c r="R136" s="3">
        <f>IF(COUNT(L$2:L136)&gt;0,COUNTIF(L$2:L136,"&gt;0")/COUNT(L$2:L136)*100,"")</f>
        <v/>
      </c>
      <c r="S136" s="3">
        <f>IF(SUMIF(L$2:L136,"&lt;0")&lt;0,SUMIF(L$2:L136,"&gt;0")/ABS(SUMIF(L$2:L136,"&lt;0")),"")</f>
        <v/>
      </c>
      <c r="T136" s="2">
        <f>IF(SUM(H$2:H136)&gt;0,SUM(L$2:L136)/SUM(H$2:H136),"")</f>
        <v/>
      </c>
      <c r="U136" s="2" t="n"/>
      <c r="V136" s="2" t="n"/>
      <c r="AE136">
        <f>IF(ISNUMBER(L136),IF(L136&lt;=-200,1,0),"")</f>
        <v/>
      </c>
      <c r="AG136">
        <f>IF(ISNUMBER(O136),IF(O136&lt;=-300,1,0),"")</f>
        <v/>
      </c>
    </row>
    <row r="137">
      <c r="J137" s="2" t="n"/>
      <c r="K137" s="2">
        <f>IF(ISNUMBER(I137),1.9*I137,"")</f>
        <v/>
      </c>
      <c r="L137" s="2">
        <f>IF(AND(ISNUMBER(J137),ISNUMBER(K137)),J137-K137,"")</f>
        <v/>
      </c>
      <c r="M137" s="2">
        <f>IF(ISNUMBER(L137),IF(ISNUMBER(M136),M136,0)+L137,IF(ISNUMBER(M136),M136,""))</f>
        <v/>
      </c>
      <c r="N137" s="2">
        <f>IF(ISNUMBER(M137),MAX(M$2:M137),"")</f>
        <v/>
      </c>
      <c r="O137" s="2">
        <f>IF(ISNUMBER(M137),M137-N137,"")</f>
        <v/>
      </c>
      <c r="R137" s="3">
        <f>IF(COUNT(L$2:L137)&gt;0,COUNTIF(L$2:L137,"&gt;0")/COUNT(L$2:L137)*100,"")</f>
        <v/>
      </c>
      <c r="S137" s="3">
        <f>IF(SUMIF(L$2:L137,"&lt;0")&lt;0,SUMIF(L$2:L137,"&gt;0")/ABS(SUMIF(L$2:L137,"&lt;0")),"")</f>
        <v/>
      </c>
      <c r="T137" s="2">
        <f>IF(SUM(H$2:H137)&gt;0,SUM(L$2:L137)/SUM(H$2:H137),"")</f>
        <v/>
      </c>
      <c r="U137" s="2" t="n"/>
      <c r="V137" s="2" t="n"/>
      <c r="AE137">
        <f>IF(ISNUMBER(L137),IF(L137&lt;=-200,1,0),"")</f>
        <v/>
      </c>
      <c r="AG137">
        <f>IF(ISNUMBER(O137),IF(O137&lt;=-300,1,0),"")</f>
        <v/>
      </c>
    </row>
    <row r="138">
      <c r="J138" s="2" t="n"/>
      <c r="K138" s="2">
        <f>IF(ISNUMBER(I138),1.9*I138,"")</f>
        <v/>
      </c>
      <c r="L138" s="2">
        <f>IF(AND(ISNUMBER(J138),ISNUMBER(K138)),J138-K138,"")</f>
        <v/>
      </c>
      <c r="M138" s="2">
        <f>IF(ISNUMBER(L138),IF(ISNUMBER(M137),M137,0)+L138,IF(ISNUMBER(M137),M137,""))</f>
        <v/>
      </c>
      <c r="N138" s="2">
        <f>IF(ISNUMBER(M138),MAX(M$2:M138),"")</f>
        <v/>
      </c>
      <c r="O138" s="2">
        <f>IF(ISNUMBER(M138),M138-N138,"")</f>
        <v/>
      </c>
      <c r="R138" s="3">
        <f>IF(COUNT(L$2:L138)&gt;0,COUNTIF(L$2:L138,"&gt;0")/COUNT(L$2:L138)*100,"")</f>
        <v/>
      </c>
      <c r="S138" s="3">
        <f>IF(SUMIF(L$2:L138,"&lt;0")&lt;0,SUMIF(L$2:L138,"&gt;0")/ABS(SUMIF(L$2:L138,"&lt;0")),"")</f>
        <v/>
      </c>
      <c r="T138" s="2">
        <f>IF(SUM(H$2:H138)&gt;0,SUM(L$2:L138)/SUM(H$2:H138),"")</f>
        <v/>
      </c>
      <c r="U138" s="2" t="n"/>
      <c r="V138" s="2" t="n"/>
      <c r="AE138">
        <f>IF(ISNUMBER(L138),IF(L138&lt;=-200,1,0),"")</f>
        <v/>
      </c>
      <c r="AG138">
        <f>IF(ISNUMBER(O138),IF(O138&lt;=-300,1,0),"")</f>
        <v/>
      </c>
    </row>
    <row r="139">
      <c r="J139" s="2" t="n"/>
      <c r="K139" s="2">
        <f>IF(ISNUMBER(I139),1.9*I139,"")</f>
        <v/>
      </c>
      <c r="L139" s="2">
        <f>IF(AND(ISNUMBER(J139),ISNUMBER(K139)),J139-K139,"")</f>
        <v/>
      </c>
      <c r="M139" s="2">
        <f>IF(ISNUMBER(L139),IF(ISNUMBER(M138),M138,0)+L139,IF(ISNUMBER(M138),M138,""))</f>
        <v/>
      </c>
      <c r="N139" s="2">
        <f>IF(ISNUMBER(M139),MAX(M$2:M139),"")</f>
        <v/>
      </c>
      <c r="O139" s="2">
        <f>IF(ISNUMBER(M139),M139-N139,"")</f>
        <v/>
      </c>
      <c r="R139" s="3">
        <f>IF(COUNT(L$2:L139)&gt;0,COUNTIF(L$2:L139,"&gt;0")/COUNT(L$2:L139)*100,"")</f>
        <v/>
      </c>
      <c r="S139" s="3">
        <f>IF(SUMIF(L$2:L139,"&lt;0")&lt;0,SUMIF(L$2:L139,"&gt;0")/ABS(SUMIF(L$2:L139,"&lt;0")),"")</f>
        <v/>
      </c>
      <c r="T139" s="2">
        <f>IF(SUM(H$2:H139)&gt;0,SUM(L$2:L139)/SUM(H$2:H139),"")</f>
        <v/>
      </c>
      <c r="U139" s="2" t="n"/>
      <c r="V139" s="2" t="n"/>
      <c r="AE139">
        <f>IF(ISNUMBER(L139),IF(L139&lt;=-200,1,0),"")</f>
        <v/>
      </c>
      <c r="AG139">
        <f>IF(ISNUMBER(O139),IF(O139&lt;=-300,1,0),"")</f>
        <v/>
      </c>
    </row>
    <row r="140">
      <c r="J140" s="2" t="n"/>
      <c r="K140" s="2">
        <f>IF(ISNUMBER(I140),1.9*I140,"")</f>
        <v/>
      </c>
      <c r="L140" s="2">
        <f>IF(AND(ISNUMBER(J140),ISNUMBER(K140)),J140-K140,"")</f>
        <v/>
      </c>
      <c r="M140" s="2">
        <f>IF(ISNUMBER(L140),IF(ISNUMBER(M139),M139,0)+L140,IF(ISNUMBER(M139),M139,""))</f>
        <v/>
      </c>
      <c r="N140" s="2">
        <f>IF(ISNUMBER(M140),MAX(M$2:M140),"")</f>
        <v/>
      </c>
      <c r="O140" s="2">
        <f>IF(ISNUMBER(M140),M140-N140,"")</f>
        <v/>
      </c>
      <c r="R140" s="3">
        <f>IF(COUNT(L$2:L140)&gt;0,COUNTIF(L$2:L140,"&gt;0")/COUNT(L$2:L140)*100,"")</f>
        <v/>
      </c>
      <c r="S140" s="3">
        <f>IF(SUMIF(L$2:L140,"&lt;0")&lt;0,SUMIF(L$2:L140,"&gt;0")/ABS(SUMIF(L$2:L140,"&lt;0")),"")</f>
        <v/>
      </c>
      <c r="T140" s="2">
        <f>IF(SUM(H$2:H140)&gt;0,SUM(L$2:L140)/SUM(H$2:H140),"")</f>
        <v/>
      </c>
      <c r="U140" s="2" t="n"/>
      <c r="V140" s="2" t="n"/>
      <c r="AE140">
        <f>IF(ISNUMBER(L140),IF(L140&lt;=-200,1,0),"")</f>
        <v/>
      </c>
      <c r="AG140">
        <f>IF(ISNUMBER(O140),IF(O140&lt;=-300,1,0),"")</f>
        <v/>
      </c>
    </row>
    <row r="141">
      <c r="J141" s="2" t="n"/>
      <c r="K141" s="2">
        <f>IF(ISNUMBER(I141),1.9*I141,"")</f>
        <v/>
      </c>
      <c r="L141" s="2">
        <f>IF(AND(ISNUMBER(J141),ISNUMBER(K141)),J141-K141,"")</f>
        <v/>
      </c>
      <c r="M141" s="2">
        <f>IF(ISNUMBER(L141),IF(ISNUMBER(M140),M140,0)+L141,IF(ISNUMBER(M140),M140,""))</f>
        <v/>
      </c>
      <c r="N141" s="2">
        <f>IF(ISNUMBER(M141),MAX(M$2:M141),"")</f>
        <v/>
      </c>
      <c r="O141" s="2">
        <f>IF(ISNUMBER(M141),M141-N141,"")</f>
        <v/>
      </c>
      <c r="R141" s="3">
        <f>IF(COUNT(L$2:L141)&gt;0,COUNTIF(L$2:L141,"&gt;0")/COUNT(L$2:L141)*100,"")</f>
        <v/>
      </c>
      <c r="S141" s="3">
        <f>IF(SUMIF(L$2:L141,"&lt;0")&lt;0,SUMIF(L$2:L141,"&gt;0")/ABS(SUMIF(L$2:L141,"&lt;0")),"")</f>
        <v/>
      </c>
      <c r="T141" s="2">
        <f>IF(SUM(H$2:H141)&gt;0,SUM(L$2:L141)/SUM(H$2:H141),"")</f>
        <v/>
      </c>
      <c r="U141" s="2" t="n"/>
      <c r="V141" s="2" t="n"/>
      <c r="AE141">
        <f>IF(ISNUMBER(L141),IF(L141&lt;=-200,1,0),"")</f>
        <v/>
      </c>
      <c r="AG141">
        <f>IF(ISNUMBER(O141),IF(O141&lt;=-300,1,0),"")</f>
        <v/>
      </c>
    </row>
    <row r="142">
      <c r="J142" s="2" t="n"/>
      <c r="K142" s="2">
        <f>IF(ISNUMBER(I142),1.9*I142,"")</f>
        <v/>
      </c>
      <c r="L142" s="2">
        <f>IF(AND(ISNUMBER(J142),ISNUMBER(K142)),J142-K142,"")</f>
        <v/>
      </c>
      <c r="M142" s="2">
        <f>IF(ISNUMBER(L142),IF(ISNUMBER(M141),M141,0)+L142,IF(ISNUMBER(M141),M141,""))</f>
        <v/>
      </c>
      <c r="N142" s="2">
        <f>IF(ISNUMBER(M142),MAX(M$2:M142),"")</f>
        <v/>
      </c>
      <c r="O142" s="2">
        <f>IF(ISNUMBER(M142),M142-N142,"")</f>
        <v/>
      </c>
      <c r="R142" s="3">
        <f>IF(COUNT(L$2:L142)&gt;0,COUNTIF(L$2:L142,"&gt;0")/COUNT(L$2:L142)*100,"")</f>
        <v/>
      </c>
      <c r="S142" s="3">
        <f>IF(SUMIF(L$2:L142,"&lt;0")&lt;0,SUMIF(L$2:L142,"&gt;0")/ABS(SUMIF(L$2:L142,"&lt;0")),"")</f>
        <v/>
      </c>
      <c r="T142" s="2">
        <f>IF(SUM(H$2:H142)&gt;0,SUM(L$2:L142)/SUM(H$2:H142),"")</f>
        <v/>
      </c>
      <c r="U142" s="2" t="n"/>
      <c r="V142" s="2" t="n"/>
      <c r="AE142">
        <f>IF(ISNUMBER(L142),IF(L142&lt;=-200,1,0),"")</f>
        <v/>
      </c>
      <c r="AG142">
        <f>IF(ISNUMBER(O142),IF(O142&lt;=-300,1,0),"")</f>
        <v/>
      </c>
    </row>
    <row r="143">
      <c r="J143" s="2" t="n"/>
      <c r="K143" s="2">
        <f>IF(ISNUMBER(I143),1.9*I143,"")</f>
        <v/>
      </c>
      <c r="L143" s="2">
        <f>IF(AND(ISNUMBER(J143),ISNUMBER(K143)),J143-K143,"")</f>
        <v/>
      </c>
      <c r="M143" s="2">
        <f>IF(ISNUMBER(L143),IF(ISNUMBER(M142),M142,0)+L143,IF(ISNUMBER(M142),M142,""))</f>
        <v/>
      </c>
      <c r="N143" s="2">
        <f>IF(ISNUMBER(M143),MAX(M$2:M143),"")</f>
        <v/>
      </c>
      <c r="O143" s="2">
        <f>IF(ISNUMBER(M143),M143-N143,"")</f>
        <v/>
      </c>
      <c r="R143" s="3">
        <f>IF(COUNT(L$2:L143)&gt;0,COUNTIF(L$2:L143,"&gt;0")/COUNT(L$2:L143)*100,"")</f>
        <v/>
      </c>
      <c r="S143" s="3">
        <f>IF(SUMIF(L$2:L143,"&lt;0")&lt;0,SUMIF(L$2:L143,"&gt;0")/ABS(SUMIF(L$2:L143,"&lt;0")),"")</f>
        <v/>
      </c>
      <c r="T143" s="2">
        <f>IF(SUM(H$2:H143)&gt;0,SUM(L$2:L143)/SUM(H$2:H143),"")</f>
        <v/>
      </c>
      <c r="U143" s="2" t="n"/>
      <c r="V143" s="2" t="n"/>
      <c r="AE143">
        <f>IF(ISNUMBER(L143),IF(L143&lt;=-200,1,0),"")</f>
        <v/>
      </c>
      <c r="AG143">
        <f>IF(ISNUMBER(O143),IF(O143&lt;=-300,1,0),"")</f>
        <v/>
      </c>
    </row>
    <row r="144">
      <c r="J144" s="2" t="n"/>
      <c r="K144" s="2">
        <f>IF(ISNUMBER(I144),1.9*I144,"")</f>
        <v/>
      </c>
      <c r="L144" s="2">
        <f>IF(AND(ISNUMBER(J144),ISNUMBER(K144)),J144-K144,"")</f>
        <v/>
      </c>
      <c r="M144" s="2">
        <f>IF(ISNUMBER(L144),IF(ISNUMBER(M143),M143,0)+L144,IF(ISNUMBER(M143),M143,""))</f>
        <v/>
      </c>
      <c r="N144" s="2">
        <f>IF(ISNUMBER(M144),MAX(M$2:M144),"")</f>
        <v/>
      </c>
      <c r="O144" s="2">
        <f>IF(ISNUMBER(M144),M144-N144,"")</f>
        <v/>
      </c>
      <c r="R144" s="3">
        <f>IF(COUNT(L$2:L144)&gt;0,COUNTIF(L$2:L144,"&gt;0")/COUNT(L$2:L144)*100,"")</f>
        <v/>
      </c>
      <c r="S144" s="3">
        <f>IF(SUMIF(L$2:L144,"&lt;0")&lt;0,SUMIF(L$2:L144,"&gt;0")/ABS(SUMIF(L$2:L144,"&lt;0")),"")</f>
        <v/>
      </c>
      <c r="T144" s="2">
        <f>IF(SUM(H$2:H144)&gt;0,SUM(L$2:L144)/SUM(H$2:H144),"")</f>
        <v/>
      </c>
      <c r="U144" s="2" t="n"/>
      <c r="V144" s="2" t="n"/>
      <c r="AE144">
        <f>IF(ISNUMBER(L144),IF(L144&lt;=-200,1,0),"")</f>
        <v/>
      </c>
      <c r="AG144">
        <f>IF(ISNUMBER(O144),IF(O144&lt;=-300,1,0),"")</f>
        <v/>
      </c>
    </row>
    <row r="145">
      <c r="J145" s="2" t="n"/>
      <c r="K145" s="2">
        <f>IF(ISNUMBER(I145),1.9*I145,"")</f>
        <v/>
      </c>
      <c r="L145" s="2">
        <f>IF(AND(ISNUMBER(J145),ISNUMBER(K145)),J145-K145,"")</f>
        <v/>
      </c>
      <c r="M145" s="2">
        <f>IF(ISNUMBER(L145),IF(ISNUMBER(M144),M144,0)+L145,IF(ISNUMBER(M144),M144,""))</f>
        <v/>
      </c>
      <c r="N145" s="2">
        <f>IF(ISNUMBER(M145),MAX(M$2:M145),"")</f>
        <v/>
      </c>
      <c r="O145" s="2">
        <f>IF(ISNUMBER(M145),M145-N145,"")</f>
        <v/>
      </c>
      <c r="R145" s="3">
        <f>IF(COUNT(L$2:L145)&gt;0,COUNTIF(L$2:L145,"&gt;0")/COUNT(L$2:L145)*100,"")</f>
        <v/>
      </c>
      <c r="S145" s="3">
        <f>IF(SUMIF(L$2:L145,"&lt;0")&lt;0,SUMIF(L$2:L145,"&gt;0")/ABS(SUMIF(L$2:L145,"&lt;0")),"")</f>
        <v/>
      </c>
      <c r="T145" s="2">
        <f>IF(SUM(H$2:H145)&gt;0,SUM(L$2:L145)/SUM(H$2:H145),"")</f>
        <v/>
      </c>
      <c r="U145" s="2" t="n"/>
      <c r="V145" s="2" t="n"/>
      <c r="AE145">
        <f>IF(ISNUMBER(L145),IF(L145&lt;=-200,1,0),"")</f>
        <v/>
      </c>
      <c r="AG145">
        <f>IF(ISNUMBER(O145),IF(O145&lt;=-300,1,0),"")</f>
        <v/>
      </c>
    </row>
    <row r="146">
      <c r="J146" s="2" t="n"/>
      <c r="K146" s="2">
        <f>IF(ISNUMBER(I146),1.9*I146,"")</f>
        <v/>
      </c>
      <c r="L146" s="2">
        <f>IF(AND(ISNUMBER(J146),ISNUMBER(K146)),J146-K146,"")</f>
        <v/>
      </c>
      <c r="M146" s="2">
        <f>IF(ISNUMBER(L146),IF(ISNUMBER(M145),M145,0)+L146,IF(ISNUMBER(M145),M145,""))</f>
        <v/>
      </c>
      <c r="N146" s="2">
        <f>IF(ISNUMBER(M146),MAX(M$2:M146),"")</f>
        <v/>
      </c>
      <c r="O146" s="2">
        <f>IF(ISNUMBER(M146),M146-N146,"")</f>
        <v/>
      </c>
      <c r="R146" s="3">
        <f>IF(COUNT(L$2:L146)&gt;0,COUNTIF(L$2:L146,"&gt;0")/COUNT(L$2:L146)*100,"")</f>
        <v/>
      </c>
      <c r="S146" s="3">
        <f>IF(SUMIF(L$2:L146,"&lt;0")&lt;0,SUMIF(L$2:L146,"&gt;0")/ABS(SUMIF(L$2:L146,"&lt;0")),"")</f>
        <v/>
      </c>
      <c r="T146" s="2">
        <f>IF(SUM(H$2:H146)&gt;0,SUM(L$2:L146)/SUM(H$2:H146),"")</f>
        <v/>
      </c>
      <c r="U146" s="2" t="n"/>
      <c r="V146" s="2" t="n"/>
      <c r="AE146">
        <f>IF(ISNUMBER(L146),IF(L146&lt;=-200,1,0),"")</f>
        <v/>
      </c>
      <c r="AG146">
        <f>IF(ISNUMBER(O146),IF(O146&lt;=-300,1,0),"")</f>
        <v/>
      </c>
    </row>
    <row r="147">
      <c r="J147" s="2" t="n"/>
      <c r="K147" s="2">
        <f>IF(ISNUMBER(I147),1.9*I147,"")</f>
        <v/>
      </c>
      <c r="L147" s="2">
        <f>IF(AND(ISNUMBER(J147),ISNUMBER(K147)),J147-K147,"")</f>
        <v/>
      </c>
      <c r="M147" s="2">
        <f>IF(ISNUMBER(L147),IF(ISNUMBER(M146),M146,0)+L147,IF(ISNUMBER(M146),M146,""))</f>
        <v/>
      </c>
      <c r="N147" s="2">
        <f>IF(ISNUMBER(M147),MAX(M$2:M147),"")</f>
        <v/>
      </c>
      <c r="O147" s="2">
        <f>IF(ISNUMBER(M147),M147-N147,"")</f>
        <v/>
      </c>
      <c r="R147" s="3">
        <f>IF(COUNT(L$2:L147)&gt;0,COUNTIF(L$2:L147,"&gt;0")/COUNT(L$2:L147)*100,"")</f>
        <v/>
      </c>
      <c r="S147" s="3">
        <f>IF(SUMIF(L$2:L147,"&lt;0")&lt;0,SUMIF(L$2:L147,"&gt;0")/ABS(SUMIF(L$2:L147,"&lt;0")),"")</f>
        <v/>
      </c>
      <c r="T147" s="2">
        <f>IF(SUM(H$2:H147)&gt;0,SUM(L$2:L147)/SUM(H$2:H147),"")</f>
        <v/>
      </c>
      <c r="U147" s="2" t="n"/>
      <c r="V147" s="2" t="n"/>
      <c r="AE147">
        <f>IF(ISNUMBER(L147),IF(L147&lt;=-200,1,0),"")</f>
        <v/>
      </c>
      <c r="AG147">
        <f>IF(ISNUMBER(O147),IF(O147&lt;=-300,1,0),"")</f>
        <v/>
      </c>
    </row>
    <row r="148">
      <c r="J148" s="2" t="n"/>
      <c r="K148" s="2">
        <f>IF(ISNUMBER(I148),1.9*I148,"")</f>
        <v/>
      </c>
      <c r="L148" s="2">
        <f>IF(AND(ISNUMBER(J148),ISNUMBER(K148)),J148-K148,"")</f>
        <v/>
      </c>
      <c r="M148" s="2">
        <f>IF(ISNUMBER(L148),IF(ISNUMBER(M147),M147,0)+L148,IF(ISNUMBER(M147),M147,""))</f>
        <v/>
      </c>
      <c r="N148" s="2">
        <f>IF(ISNUMBER(M148),MAX(M$2:M148),"")</f>
        <v/>
      </c>
      <c r="O148" s="2">
        <f>IF(ISNUMBER(M148),M148-N148,"")</f>
        <v/>
      </c>
      <c r="R148" s="3">
        <f>IF(COUNT(L$2:L148)&gt;0,COUNTIF(L$2:L148,"&gt;0")/COUNT(L$2:L148)*100,"")</f>
        <v/>
      </c>
      <c r="S148" s="3">
        <f>IF(SUMIF(L$2:L148,"&lt;0")&lt;0,SUMIF(L$2:L148,"&gt;0")/ABS(SUMIF(L$2:L148,"&lt;0")),"")</f>
        <v/>
      </c>
      <c r="T148" s="2">
        <f>IF(SUM(H$2:H148)&gt;0,SUM(L$2:L148)/SUM(H$2:H148),"")</f>
        <v/>
      </c>
      <c r="U148" s="2" t="n"/>
      <c r="V148" s="2" t="n"/>
      <c r="AE148">
        <f>IF(ISNUMBER(L148),IF(L148&lt;=-200,1,0),"")</f>
        <v/>
      </c>
      <c r="AG148">
        <f>IF(ISNUMBER(O148),IF(O148&lt;=-300,1,0),"")</f>
        <v/>
      </c>
    </row>
    <row r="149">
      <c r="J149" s="2" t="n"/>
      <c r="K149" s="2">
        <f>IF(ISNUMBER(I149),1.9*I149,"")</f>
        <v/>
      </c>
      <c r="L149" s="2">
        <f>IF(AND(ISNUMBER(J149),ISNUMBER(K149)),J149-K149,"")</f>
        <v/>
      </c>
      <c r="M149" s="2">
        <f>IF(ISNUMBER(L149),IF(ISNUMBER(M148),M148,0)+L149,IF(ISNUMBER(M148),M148,""))</f>
        <v/>
      </c>
      <c r="N149" s="2">
        <f>IF(ISNUMBER(M149),MAX(M$2:M149),"")</f>
        <v/>
      </c>
      <c r="O149" s="2">
        <f>IF(ISNUMBER(M149),M149-N149,"")</f>
        <v/>
      </c>
      <c r="R149" s="3">
        <f>IF(COUNT(L$2:L149)&gt;0,COUNTIF(L$2:L149,"&gt;0")/COUNT(L$2:L149)*100,"")</f>
        <v/>
      </c>
      <c r="S149" s="3">
        <f>IF(SUMIF(L$2:L149,"&lt;0")&lt;0,SUMIF(L$2:L149,"&gt;0")/ABS(SUMIF(L$2:L149,"&lt;0")),"")</f>
        <v/>
      </c>
      <c r="T149" s="2">
        <f>IF(SUM(H$2:H149)&gt;0,SUM(L$2:L149)/SUM(H$2:H149),"")</f>
        <v/>
      </c>
      <c r="U149" s="2" t="n"/>
      <c r="V149" s="2" t="n"/>
      <c r="AE149">
        <f>IF(ISNUMBER(L149),IF(L149&lt;=-200,1,0),"")</f>
        <v/>
      </c>
      <c r="AG149">
        <f>IF(ISNUMBER(O149),IF(O149&lt;=-300,1,0),"")</f>
        <v/>
      </c>
    </row>
    <row r="150">
      <c r="J150" s="2" t="n"/>
      <c r="K150" s="2">
        <f>IF(ISNUMBER(I150),1.9*I150,"")</f>
        <v/>
      </c>
      <c r="L150" s="2">
        <f>IF(AND(ISNUMBER(J150),ISNUMBER(K150)),J150-K150,"")</f>
        <v/>
      </c>
      <c r="M150" s="2">
        <f>IF(ISNUMBER(L150),IF(ISNUMBER(M149),M149,0)+L150,IF(ISNUMBER(M149),M149,""))</f>
        <v/>
      </c>
      <c r="N150" s="2">
        <f>IF(ISNUMBER(M150),MAX(M$2:M150),"")</f>
        <v/>
      </c>
      <c r="O150" s="2">
        <f>IF(ISNUMBER(M150),M150-N150,"")</f>
        <v/>
      </c>
      <c r="R150" s="3">
        <f>IF(COUNT(L$2:L150)&gt;0,COUNTIF(L$2:L150,"&gt;0")/COUNT(L$2:L150)*100,"")</f>
        <v/>
      </c>
      <c r="S150" s="3">
        <f>IF(SUMIF(L$2:L150,"&lt;0")&lt;0,SUMIF(L$2:L150,"&gt;0")/ABS(SUMIF(L$2:L150,"&lt;0")),"")</f>
        <v/>
      </c>
      <c r="T150" s="2">
        <f>IF(SUM(H$2:H150)&gt;0,SUM(L$2:L150)/SUM(H$2:H150),"")</f>
        <v/>
      </c>
      <c r="U150" s="2" t="n"/>
      <c r="V150" s="2" t="n"/>
      <c r="AE150">
        <f>IF(ISNUMBER(L150),IF(L150&lt;=-200,1,0),"")</f>
        <v/>
      </c>
      <c r="AG150">
        <f>IF(ISNUMBER(O150),IF(O150&lt;=-300,1,0),"")</f>
        <v/>
      </c>
    </row>
    <row r="151">
      <c r="J151" s="2" t="n"/>
      <c r="K151" s="2">
        <f>IF(ISNUMBER(I151),1.9*I151,"")</f>
        <v/>
      </c>
      <c r="L151" s="2">
        <f>IF(AND(ISNUMBER(J151),ISNUMBER(K151)),J151-K151,"")</f>
        <v/>
      </c>
      <c r="M151" s="2">
        <f>IF(ISNUMBER(L151),IF(ISNUMBER(M150),M150,0)+L151,IF(ISNUMBER(M150),M150,""))</f>
        <v/>
      </c>
      <c r="N151" s="2">
        <f>IF(ISNUMBER(M151),MAX(M$2:M151),"")</f>
        <v/>
      </c>
      <c r="O151" s="2">
        <f>IF(ISNUMBER(M151),M151-N151,"")</f>
        <v/>
      </c>
      <c r="R151" s="3">
        <f>IF(COUNT(L$2:L151)&gt;0,COUNTIF(L$2:L151,"&gt;0")/COUNT(L$2:L151)*100,"")</f>
        <v/>
      </c>
      <c r="S151" s="3">
        <f>IF(SUMIF(L$2:L151,"&lt;0")&lt;0,SUMIF(L$2:L151,"&gt;0")/ABS(SUMIF(L$2:L151,"&lt;0")),"")</f>
        <v/>
      </c>
      <c r="T151" s="2">
        <f>IF(SUM(H$2:H151)&gt;0,SUM(L$2:L151)/SUM(H$2:H151),"")</f>
        <v/>
      </c>
      <c r="U151" s="2" t="n"/>
      <c r="V151" s="2" t="n"/>
      <c r="AE151">
        <f>IF(ISNUMBER(L151),IF(L151&lt;=-200,1,0),"")</f>
        <v/>
      </c>
      <c r="AG151">
        <f>IF(ISNUMBER(O151),IF(O151&lt;=-300,1,0),"")</f>
        <v/>
      </c>
    </row>
    <row r="152">
      <c r="J152" s="2" t="n"/>
      <c r="K152" s="2">
        <f>IF(ISNUMBER(I152),1.9*I152,"")</f>
        <v/>
      </c>
      <c r="L152" s="2">
        <f>IF(AND(ISNUMBER(J152),ISNUMBER(K152)),J152-K152,"")</f>
        <v/>
      </c>
      <c r="M152" s="2">
        <f>IF(ISNUMBER(L152),IF(ISNUMBER(M151),M151,0)+L152,IF(ISNUMBER(M151),M151,""))</f>
        <v/>
      </c>
      <c r="N152" s="2">
        <f>IF(ISNUMBER(M152),MAX(M$2:M152),"")</f>
        <v/>
      </c>
      <c r="O152" s="2">
        <f>IF(ISNUMBER(M152),M152-N152,"")</f>
        <v/>
      </c>
      <c r="R152" s="3">
        <f>IF(COUNT(L$2:L152)&gt;0,COUNTIF(L$2:L152,"&gt;0")/COUNT(L$2:L152)*100,"")</f>
        <v/>
      </c>
      <c r="S152" s="3">
        <f>IF(SUMIF(L$2:L152,"&lt;0")&lt;0,SUMIF(L$2:L152,"&gt;0")/ABS(SUMIF(L$2:L152,"&lt;0")),"")</f>
        <v/>
      </c>
      <c r="T152" s="2">
        <f>IF(SUM(H$2:H152)&gt;0,SUM(L$2:L152)/SUM(H$2:H152),"")</f>
        <v/>
      </c>
      <c r="U152" s="2" t="n"/>
      <c r="V152" s="2" t="n"/>
      <c r="AE152">
        <f>IF(ISNUMBER(L152),IF(L152&lt;=-200,1,0),"")</f>
        <v/>
      </c>
      <c r="AG152">
        <f>IF(ISNUMBER(O152),IF(O152&lt;=-300,1,0),"")</f>
        <v/>
      </c>
    </row>
    <row r="153">
      <c r="J153" s="2" t="n"/>
      <c r="K153" s="2">
        <f>IF(ISNUMBER(I153),1.9*I153,"")</f>
        <v/>
      </c>
      <c r="L153" s="2">
        <f>IF(AND(ISNUMBER(J153),ISNUMBER(K153)),J153-K153,"")</f>
        <v/>
      </c>
      <c r="M153" s="2">
        <f>IF(ISNUMBER(L153),IF(ISNUMBER(M152),M152,0)+L153,IF(ISNUMBER(M152),M152,""))</f>
        <v/>
      </c>
      <c r="N153" s="2">
        <f>IF(ISNUMBER(M153),MAX(M$2:M153),"")</f>
        <v/>
      </c>
      <c r="O153" s="2">
        <f>IF(ISNUMBER(M153),M153-N153,"")</f>
        <v/>
      </c>
      <c r="R153" s="3">
        <f>IF(COUNT(L$2:L153)&gt;0,COUNTIF(L$2:L153,"&gt;0")/COUNT(L$2:L153)*100,"")</f>
        <v/>
      </c>
      <c r="S153" s="3">
        <f>IF(SUMIF(L$2:L153,"&lt;0")&lt;0,SUMIF(L$2:L153,"&gt;0")/ABS(SUMIF(L$2:L153,"&lt;0")),"")</f>
        <v/>
      </c>
      <c r="T153" s="2">
        <f>IF(SUM(H$2:H153)&gt;0,SUM(L$2:L153)/SUM(H$2:H153),"")</f>
        <v/>
      </c>
      <c r="U153" s="2" t="n"/>
      <c r="V153" s="2" t="n"/>
      <c r="AE153">
        <f>IF(ISNUMBER(L153),IF(L153&lt;=-200,1,0),"")</f>
        <v/>
      </c>
      <c r="AG153">
        <f>IF(ISNUMBER(O153),IF(O153&lt;=-300,1,0),"")</f>
        <v/>
      </c>
    </row>
    <row r="154">
      <c r="J154" s="2" t="n"/>
      <c r="K154" s="2">
        <f>IF(ISNUMBER(I154),1.9*I154,"")</f>
        <v/>
      </c>
      <c r="L154" s="2">
        <f>IF(AND(ISNUMBER(J154),ISNUMBER(K154)),J154-K154,"")</f>
        <v/>
      </c>
      <c r="M154" s="2">
        <f>IF(ISNUMBER(L154),IF(ISNUMBER(M153),M153,0)+L154,IF(ISNUMBER(M153),M153,""))</f>
        <v/>
      </c>
      <c r="N154" s="2">
        <f>IF(ISNUMBER(M154),MAX(M$2:M154),"")</f>
        <v/>
      </c>
      <c r="O154" s="2">
        <f>IF(ISNUMBER(M154),M154-N154,"")</f>
        <v/>
      </c>
      <c r="R154" s="3">
        <f>IF(COUNT(L$2:L154)&gt;0,COUNTIF(L$2:L154,"&gt;0")/COUNT(L$2:L154)*100,"")</f>
        <v/>
      </c>
      <c r="S154" s="3">
        <f>IF(SUMIF(L$2:L154,"&lt;0")&lt;0,SUMIF(L$2:L154,"&gt;0")/ABS(SUMIF(L$2:L154,"&lt;0")),"")</f>
        <v/>
      </c>
      <c r="T154" s="2">
        <f>IF(SUM(H$2:H154)&gt;0,SUM(L$2:L154)/SUM(H$2:H154),"")</f>
        <v/>
      </c>
      <c r="U154" s="2" t="n"/>
      <c r="V154" s="2" t="n"/>
      <c r="AE154">
        <f>IF(ISNUMBER(L154),IF(L154&lt;=-200,1,0),"")</f>
        <v/>
      </c>
      <c r="AG154">
        <f>IF(ISNUMBER(O154),IF(O154&lt;=-300,1,0),"")</f>
        <v/>
      </c>
    </row>
    <row r="155">
      <c r="J155" s="2" t="n"/>
      <c r="K155" s="2">
        <f>IF(ISNUMBER(I155),1.9*I155,"")</f>
        <v/>
      </c>
      <c r="L155" s="2">
        <f>IF(AND(ISNUMBER(J155),ISNUMBER(K155)),J155-K155,"")</f>
        <v/>
      </c>
      <c r="M155" s="2">
        <f>IF(ISNUMBER(L155),IF(ISNUMBER(M154),M154,0)+L155,IF(ISNUMBER(M154),M154,""))</f>
        <v/>
      </c>
      <c r="N155" s="2">
        <f>IF(ISNUMBER(M155),MAX(M$2:M155),"")</f>
        <v/>
      </c>
      <c r="O155" s="2">
        <f>IF(ISNUMBER(M155),M155-N155,"")</f>
        <v/>
      </c>
      <c r="R155" s="3">
        <f>IF(COUNT(L$2:L155)&gt;0,COUNTIF(L$2:L155,"&gt;0")/COUNT(L$2:L155)*100,"")</f>
        <v/>
      </c>
      <c r="S155" s="3">
        <f>IF(SUMIF(L$2:L155,"&lt;0")&lt;0,SUMIF(L$2:L155,"&gt;0")/ABS(SUMIF(L$2:L155,"&lt;0")),"")</f>
        <v/>
      </c>
      <c r="T155" s="2">
        <f>IF(SUM(H$2:H155)&gt;0,SUM(L$2:L155)/SUM(H$2:H155),"")</f>
        <v/>
      </c>
      <c r="U155" s="2" t="n"/>
      <c r="V155" s="2" t="n"/>
      <c r="AE155">
        <f>IF(ISNUMBER(L155),IF(L155&lt;=-200,1,0),"")</f>
        <v/>
      </c>
      <c r="AG155">
        <f>IF(ISNUMBER(O155),IF(O155&lt;=-300,1,0),"")</f>
        <v/>
      </c>
    </row>
    <row r="156">
      <c r="J156" s="2" t="n"/>
      <c r="K156" s="2">
        <f>IF(ISNUMBER(I156),1.9*I156,"")</f>
        <v/>
      </c>
      <c r="L156" s="2">
        <f>IF(AND(ISNUMBER(J156),ISNUMBER(K156)),J156-K156,"")</f>
        <v/>
      </c>
      <c r="M156" s="2">
        <f>IF(ISNUMBER(L156),IF(ISNUMBER(M155),M155,0)+L156,IF(ISNUMBER(M155),M155,""))</f>
        <v/>
      </c>
      <c r="N156" s="2">
        <f>IF(ISNUMBER(M156),MAX(M$2:M156),"")</f>
        <v/>
      </c>
      <c r="O156" s="2">
        <f>IF(ISNUMBER(M156),M156-N156,"")</f>
        <v/>
      </c>
      <c r="R156" s="3">
        <f>IF(COUNT(L$2:L156)&gt;0,COUNTIF(L$2:L156,"&gt;0")/COUNT(L$2:L156)*100,"")</f>
        <v/>
      </c>
      <c r="S156" s="3">
        <f>IF(SUMIF(L$2:L156,"&lt;0")&lt;0,SUMIF(L$2:L156,"&gt;0")/ABS(SUMIF(L$2:L156,"&lt;0")),"")</f>
        <v/>
      </c>
      <c r="T156" s="2">
        <f>IF(SUM(H$2:H156)&gt;0,SUM(L$2:L156)/SUM(H$2:H156),"")</f>
        <v/>
      </c>
      <c r="U156" s="2" t="n"/>
      <c r="V156" s="2" t="n"/>
      <c r="AE156">
        <f>IF(ISNUMBER(L156),IF(L156&lt;=-200,1,0),"")</f>
        <v/>
      </c>
      <c r="AG156">
        <f>IF(ISNUMBER(O156),IF(O156&lt;=-300,1,0),"")</f>
        <v/>
      </c>
    </row>
    <row r="157">
      <c r="J157" s="2" t="n"/>
      <c r="K157" s="2">
        <f>IF(ISNUMBER(I157),1.9*I157,"")</f>
        <v/>
      </c>
      <c r="L157" s="2">
        <f>IF(AND(ISNUMBER(J157),ISNUMBER(K157)),J157-K157,"")</f>
        <v/>
      </c>
      <c r="M157" s="2">
        <f>IF(ISNUMBER(L157),IF(ISNUMBER(M156),M156,0)+L157,IF(ISNUMBER(M156),M156,""))</f>
        <v/>
      </c>
      <c r="N157" s="2">
        <f>IF(ISNUMBER(M157),MAX(M$2:M157),"")</f>
        <v/>
      </c>
      <c r="O157" s="2">
        <f>IF(ISNUMBER(M157),M157-N157,"")</f>
        <v/>
      </c>
      <c r="R157" s="3">
        <f>IF(COUNT(L$2:L157)&gt;0,COUNTIF(L$2:L157,"&gt;0")/COUNT(L$2:L157)*100,"")</f>
        <v/>
      </c>
      <c r="S157" s="3">
        <f>IF(SUMIF(L$2:L157,"&lt;0")&lt;0,SUMIF(L$2:L157,"&gt;0")/ABS(SUMIF(L$2:L157,"&lt;0")),"")</f>
        <v/>
      </c>
      <c r="T157" s="2">
        <f>IF(SUM(H$2:H157)&gt;0,SUM(L$2:L157)/SUM(H$2:H157),"")</f>
        <v/>
      </c>
      <c r="U157" s="2" t="n"/>
      <c r="V157" s="2" t="n"/>
      <c r="AE157">
        <f>IF(ISNUMBER(L157),IF(L157&lt;=-200,1,0),"")</f>
        <v/>
      </c>
      <c r="AG157">
        <f>IF(ISNUMBER(O157),IF(O157&lt;=-300,1,0),"")</f>
        <v/>
      </c>
    </row>
    <row r="158">
      <c r="J158" s="2" t="n"/>
      <c r="K158" s="2">
        <f>IF(ISNUMBER(I158),1.9*I158,"")</f>
        <v/>
      </c>
      <c r="L158" s="2">
        <f>IF(AND(ISNUMBER(J158),ISNUMBER(K158)),J158-K158,"")</f>
        <v/>
      </c>
      <c r="M158" s="2">
        <f>IF(ISNUMBER(L158),IF(ISNUMBER(M157),M157,0)+L158,IF(ISNUMBER(M157),M157,""))</f>
        <v/>
      </c>
      <c r="N158" s="2">
        <f>IF(ISNUMBER(M158),MAX(M$2:M158),"")</f>
        <v/>
      </c>
      <c r="O158" s="2">
        <f>IF(ISNUMBER(M158),M158-N158,"")</f>
        <v/>
      </c>
      <c r="R158" s="3">
        <f>IF(COUNT(L$2:L158)&gt;0,COUNTIF(L$2:L158,"&gt;0")/COUNT(L$2:L158)*100,"")</f>
        <v/>
      </c>
      <c r="S158" s="3">
        <f>IF(SUMIF(L$2:L158,"&lt;0")&lt;0,SUMIF(L$2:L158,"&gt;0")/ABS(SUMIF(L$2:L158,"&lt;0")),"")</f>
        <v/>
      </c>
      <c r="T158" s="2">
        <f>IF(SUM(H$2:H158)&gt;0,SUM(L$2:L158)/SUM(H$2:H158),"")</f>
        <v/>
      </c>
      <c r="U158" s="2" t="n"/>
      <c r="V158" s="2" t="n"/>
      <c r="AE158">
        <f>IF(ISNUMBER(L158),IF(L158&lt;=-200,1,0),"")</f>
        <v/>
      </c>
      <c r="AG158">
        <f>IF(ISNUMBER(O158),IF(O158&lt;=-300,1,0),"")</f>
        <v/>
      </c>
    </row>
    <row r="159">
      <c r="J159" s="2" t="n"/>
      <c r="K159" s="2">
        <f>IF(ISNUMBER(I159),1.9*I159,"")</f>
        <v/>
      </c>
      <c r="L159" s="2">
        <f>IF(AND(ISNUMBER(J159),ISNUMBER(K159)),J159-K159,"")</f>
        <v/>
      </c>
      <c r="M159" s="2">
        <f>IF(ISNUMBER(L159),IF(ISNUMBER(M158),M158,0)+L159,IF(ISNUMBER(M158),M158,""))</f>
        <v/>
      </c>
      <c r="N159" s="2">
        <f>IF(ISNUMBER(M159),MAX(M$2:M159),"")</f>
        <v/>
      </c>
      <c r="O159" s="2">
        <f>IF(ISNUMBER(M159),M159-N159,"")</f>
        <v/>
      </c>
      <c r="R159" s="3">
        <f>IF(COUNT(L$2:L159)&gt;0,COUNTIF(L$2:L159,"&gt;0")/COUNT(L$2:L159)*100,"")</f>
        <v/>
      </c>
      <c r="S159" s="3">
        <f>IF(SUMIF(L$2:L159,"&lt;0")&lt;0,SUMIF(L$2:L159,"&gt;0")/ABS(SUMIF(L$2:L159,"&lt;0")),"")</f>
        <v/>
      </c>
      <c r="T159" s="2">
        <f>IF(SUM(H$2:H159)&gt;0,SUM(L$2:L159)/SUM(H$2:H159),"")</f>
        <v/>
      </c>
      <c r="U159" s="2" t="n"/>
      <c r="V159" s="2" t="n"/>
      <c r="AE159">
        <f>IF(ISNUMBER(L159),IF(L159&lt;=-200,1,0),"")</f>
        <v/>
      </c>
      <c r="AG159">
        <f>IF(ISNUMBER(O159),IF(O159&lt;=-300,1,0),"")</f>
        <v/>
      </c>
    </row>
    <row r="160">
      <c r="J160" s="2" t="n"/>
      <c r="K160" s="2">
        <f>IF(ISNUMBER(I160),1.9*I160,"")</f>
        <v/>
      </c>
      <c r="L160" s="2">
        <f>IF(AND(ISNUMBER(J160),ISNUMBER(K160)),J160-K160,"")</f>
        <v/>
      </c>
      <c r="M160" s="2">
        <f>IF(ISNUMBER(L160),IF(ISNUMBER(M159),M159,0)+L160,IF(ISNUMBER(M159),M159,""))</f>
        <v/>
      </c>
      <c r="N160" s="2">
        <f>IF(ISNUMBER(M160),MAX(M$2:M160),"")</f>
        <v/>
      </c>
      <c r="O160" s="2">
        <f>IF(ISNUMBER(M160),M160-N160,"")</f>
        <v/>
      </c>
      <c r="R160" s="3">
        <f>IF(COUNT(L$2:L160)&gt;0,COUNTIF(L$2:L160,"&gt;0")/COUNT(L$2:L160)*100,"")</f>
        <v/>
      </c>
      <c r="S160" s="3">
        <f>IF(SUMIF(L$2:L160,"&lt;0")&lt;0,SUMIF(L$2:L160,"&gt;0")/ABS(SUMIF(L$2:L160,"&lt;0")),"")</f>
        <v/>
      </c>
      <c r="T160" s="2">
        <f>IF(SUM(H$2:H160)&gt;0,SUM(L$2:L160)/SUM(H$2:H160),"")</f>
        <v/>
      </c>
      <c r="U160" s="2" t="n"/>
      <c r="V160" s="2" t="n"/>
      <c r="AE160">
        <f>IF(ISNUMBER(L160),IF(L160&lt;=-200,1,0),"")</f>
        <v/>
      </c>
      <c r="AG160">
        <f>IF(ISNUMBER(O160),IF(O160&lt;=-300,1,0),"")</f>
        <v/>
      </c>
    </row>
    <row r="161">
      <c r="J161" s="2" t="n"/>
      <c r="K161" s="2">
        <f>IF(ISNUMBER(I161),1.9*I161,"")</f>
        <v/>
      </c>
      <c r="L161" s="2">
        <f>IF(AND(ISNUMBER(J161),ISNUMBER(K161)),J161-K161,"")</f>
        <v/>
      </c>
      <c r="M161" s="2">
        <f>IF(ISNUMBER(L161),IF(ISNUMBER(M160),M160,0)+L161,IF(ISNUMBER(M160),M160,""))</f>
        <v/>
      </c>
      <c r="N161" s="2">
        <f>IF(ISNUMBER(M161),MAX(M$2:M161),"")</f>
        <v/>
      </c>
      <c r="O161" s="2">
        <f>IF(ISNUMBER(M161),M161-N161,"")</f>
        <v/>
      </c>
      <c r="R161" s="3">
        <f>IF(COUNT(L$2:L161)&gt;0,COUNTIF(L$2:L161,"&gt;0")/COUNT(L$2:L161)*100,"")</f>
        <v/>
      </c>
      <c r="S161" s="3">
        <f>IF(SUMIF(L$2:L161,"&lt;0")&lt;0,SUMIF(L$2:L161,"&gt;0")/ABS(SUMIF(L$2:L161,"&lt;0")),"")</f>
        <v/>
      </c>
      <c r="T161" s="2">
        <f>IF(SUM(H$2:H161)&gt;0,SUM(L$2:L161)/SUM(H$2:H161),"")</f>
        <v/>
      </c>
      <c r="U161" s="2" t="n"/>
      <c r="V161" s="2" t="n"/>
      <c r="AE161">
        <f>IF(ISNUMBER(L161),IF(L161&lt;=-200,1,0),"")</f>
        <v/>
      </c>
      <c r="AG161">
        <f>IF(ISNUMBER(O161),IF(O161&lt;=-300,1,0),"")</f>
        <v/>
      </c>
    </row>
    <row r="162">
      <c r="J162" s="2" t="n"/>
      <c r="K162" s="2">
        <f>IF(ISNUMBER(I162),1.9*I162,"")</f>
        <v/>
      </c>
      <c r="L162" s="2">
        <f>IF(AND(ISNUMBER(J162),ISNUMBER(K162)),J162-K162,"")</f>
        <v/>
      </c>
      <c r="M162" s="2">
        <f>IF(ISNUMBER(L162),IF(ISNUMBER(M161),M161,0)+L162,IF(ISNUMBER(M161),M161,""))</f>
        <v/>
      </c>
      <c r="N162" s="2">
        <f>IF(ISNUMBER(M162),MAX(M$2:M162),"")</f>
        <v/>
      </c>
      <c r="O162" s="2">
        <f>IF(ISNUMBER(M162),M162-N162,"")</f>
        <v/>
      </c>
      <c r="R162" s="3">
        <f>IF(COUNT(L$2:L162)&gt;0,COUNTIF(L$2:L162,"&gt;0")/COUNT(L$2:L162)*100,"")</f>
        <v/>
      </c>
      <c r="S162" s="3">
        <f>IF(SUMIF(L$2:L162,"&lt;0")&lt;0,SUMIF(L$2:L162,"&gt;0")/ABS(SUMIF(L$2:L162,"&lt;0")),"")</f>
        <v/>
      </c>
      <c r="T162" s="2">
        <f>IF(SUM(H$2:H162)&gt;0,SUM(L$2:L162)/SUM(H$2:H162),"")</f>
        <v/>
      </c>
      <c r="U162" s="2" t="n"/>
      <c r="V162" s="2" t="n"/>
      <c r="AE162">
        <f>IF(ISNUMBER(L162),IF(L162&lt;=-200,1,0),"")</f>
        <v/>
      </c>
      <c r="AG162">
        <f>IF(ISNUMBER(O162),IF(O162&lt;=-300,1,0),"")</f>
        <v/>
      </c>
    </row>
    <row r="163">
      <c r="J163" s="2" t="n"/>
      <c r="K163" s="2">
        <f>IF(ISNUMBER(I163),1.9*I163,"")</f>
        <v/>
      </c>
      <c r="L163" s="2">
        <f>IF(AND(ISNUMBER(J163),ISNUMBER(K163)),J163-K163,"")</f>
        <v/>
      </c>
      <c r="M163" s="2">
        <f>IF(ISNUMBER(L163),IF(ISNUMBER(M162),M162,0)+L163,IF(ISNUMBER(M162),M162,""))</f>
        <v/>
      </c>
      <c r="N163" s="2">
        <f>IF(ISNUMBER(M163),MAX(M$2:M163),"")</f>
        <v/>
      </c>
      <c r="O163" s="2">
        <f>IF(ISNUMBER(M163),M163-N163,"")</f>
        <v/>
      </c>
      <c r="R163" s="3">
        <f>IF(COUNT(L$2:L163)&gt;0,COUNTIF(L$2:L163,"&gt;0")/COUNT(L$2:L163)*100,"")</f>
        <v/>
      </c>
      <c r="S163" s="3">
        <f>IF(SUMIF(L$2:L163,"&lt;0")&lt;0,SUMIF(L$2:L163,"&gt;0")/ABS(SUMIF(L$2:L163,"&lt;0")),"")</f>
        <v/>
      </c>
      <c r="T163" s="2">
        <f>IF(SUM(H$2:H163)&gt;0,SUM(L$2:L163)/SUM(H$2:H163),"")</f>
        <v/>
      </c>
      <c r="U163" s="2" t="n"/>
      <c r="V163" s="2" t="n"/>
      <c r="AE163">
        <f>IF(ISNUMBER(L163),IF(L163&lt;=-200,1,0),"")</f>
        <v/>
      </c>
      <c r="AG163">
        <f>IF(ISNUMBER(O163),IF(O163&lt;=-300,1,0),"")</f>
        <v/>
      </c>
    </row>
    <row r="164">
      <c r="J164" s="2" t="n"/>
      <c r="K164" s="2">
        <f>IF(ISNUMBER(I164),1.9*I164,"")</f>
        <v/>
      </c>
      <c r="L164" s="2">
        <f>IF(AND(ISNUMBER(J164),ISNUMBER(K164)),J164-K164,"")</f>
        <v/>
      </c>
      <c r="M164" s="2">
        <f>IF(ISNUMBER(L164),IF(ISNUMBER(M163),M163,0)+L164,IF(ISNUMBER(M163),M163,""))</f>
        <v/>
      </c>
      <c r="N164" s="2">
        <f>IF(ISNUMBER(M164),MAX(M$2:M164),"")</f>
        <v/>
      </c>
      <c r="O164" s="2">
        <f>IF(ISNUMBER(M164),M164-N164,"")</f>
        <v/>
      </c>
      <c r="R164" s="3">
        <f>IF(COUNT(L$2:L164)&gt;0,COUNTIF(L$2:L164,"&gt;0")/COUNT(L$2:L164)*100,"")</f>
        <v/>
      </c>
      <c r="S164" s="3">
        <f>IF(SUMIF(L$2:L164,"&lt;0")&lt;0,SUMIF(L$2:L164,"&gt;0")/ABS(SUMIF(L$2:L164,"&lt;0")),"")</f>
        <v/>
      </c>
      <c r="T164" s="2">
        <f>IF(SUM(H$2:H164)&gt;0,SUM(L$2:L164)/SUM(H$2:H164),"")</f>
        <v/>
      </c>
      <c r="U164" s="2" t="n"/>
      <c r="V164" s="2" t="n"/>
      <c r="AE164">
        <f>IF(ISNUMBER(L164),IF(L164&lt;=-200,1,0),"")</f>
        <v/>
      </c>
      <c r="AG164">
        <f>IF(ISNUMBER(O164),IF(O164&lt;=-300,1,0),"")</f>
        <v/>
      </c>
    </row>
    <row r="165">
      <c r="J165" s="2" t="n"/>
      <c r="K165" s="2">
        <f>IF(ISNUMBER(I165),1.9*I165,"")</f>
        <v/>
      </c>
      <c r="L165" s="2">
        <f>IF(AND(ISNUMBER(J165),ISNUMBER(K165)),J165-K165,"")</f>
        <v/>
      </c>
      <c r="M165" s="2">
        <f>IF(ISNUMBER(L165),IF(ISNUMBER(M164),M164,0)+L165,IF(ISNUMBER(M164),M164,""))</f>
        <v/>
      </c>
      <c r="N165" s="2">
        <f>IF(ISNUMBER(M165),MAX(M$2:M165),"")</f>
        <v/>
      </c>
      <c r="O165" s="2">
        <f>IF(ISNUMBER(M165),M165-N165,"")</f>
        <v/>
      </c>
      <c r="R165" s="3">
        <f>IF(COUNT(L$2:L165)&gt;0,COUNTIF(L$2:L165,"&gt;0")/COUNT(L$2:L165)*100,"")</f>
        <v/>
      </c>
      <c r="S165" s="3">
        <f>IF(SUMIF(L$2:L165,"&lt;0")&lt;0,SUMIF(L$2:L165,"&gt;0")/ABS(SUMIF(L$2:L165,"&lt;0")),"")</f>
        <v/>
      </c>
      <c r="T165" s="2">
        <f>IF(SUM(H$2:H165)&gt;0,SUM(L$2:L165)/SUM(H$2:H165),"")</f>
        <v/>
      </c>
      <c r="U165" s="2" t="n"/>
      <c r="V165" s="2" t="n"/>
      <c r="AE165">
        <f>IF(ISNUMBER(L165),IF(L165&lt;=-200,1,0),"")</f>
        <v/>
      </c>
      <c r="AG165">
        <f>IF(ISNUMBER(O165),IF(O165&lt;=-300,1,0),"")</f>
        <v/>
      </c>
    </row>
    <row r="166">
      <c r="J166" s="2" t="n"/>
      <c r="K166" s="2">
        <f>IF(ISNUMBER(I166),1.9*I166,"")</f>
        <v/>
      </c>
      <c r="L166" s="2">
        <f>IF(AND(ISNUMBER(J166),ISNUMBER(K166)),J166-K166,"")</f>
        <v/>
      </c>
      <c r="M166" s="2">
        <f>IF(ISNUMBER(L166),IF(ISNUMBER(M165),M165,0)+L166,IF(ISNUMBER(M165),M165,""))</f>
        <v/>
      </c>
      <c r="N166" s="2">
        <f>IF(ISNUMBER(M166),MAX(M$2:M166),"")</f>
        <v/>
      </c>
      <c r="O166" s="2">
        <f>IF(ISNUMBER(M166),M166-N166,"")</f>
        <v/>
      </c>
      <c r="R166" s="3">
        <f>IF(COUNT(L$2:L166)&gt;0,COUNTIF(L$2:L166,"&gt;0")/COUNT(L$2:L166)*100,"")</f>
        <v/>
      </c>
      <c r="S166" s="3">
        <f>IF(SUMIF(L$2:L166,"&lt;0")&lt;0,SUMIF(L$2:L166,"&gt;0")/ABS(SUMIF(L$2:L166,"&lt;0")),"")</f>
        <v/>
      </c>
      <c r="T166" s="2">
        <f>IF(SUM(H$2:H166)&gt;0,SUM(L$2:L166)/SUM(H$2:H166),"")</f>
        <v/>
      </c>
      <c r="U166" s="2" t="n"/>
      <c r="V166" s="2" t="n"/>
      <c r="AE166">
        <f>IF(ISNUMBER(L166),IF(L166&lt;=-200,1,0),"")</f>
        <v/>
      </c>
      <c r="AG166">
        <f>IF(ISNUMBER(O166),IF(O166&lt;=-300,1,0),"")</f>
        <v/>
      </c>
    </row>
    <row r="167">
      <c r="J167" s="2" t="n"/>
      <c r="K167" s="2">
        <f>IF(ISNUMBER(I167),1.9*I167,"")</f>
        <v/>
      </c>
      <c r="L167" s="2">
        <f>IF(AND(ISNUMBER(J167),ISNUMBER(K167)),J167-K167,"")</f>
        <v/>
      </c>
      <c r="M167" s="2">
        <f>IF(ISNUMBER(L167),IF(ISNUMBER(M166),M166,0)+L167,IF(ISNUMBER(M166),M166,""))</f>
        <v/>
      </c>
      <c r="N167" s="2">
        <f>IF(ISNUMBER(M167),MAX(M$2:M167),"")</f>
        <v/>
      </c>
      <c r="O167" s="2">
        <f>IF(ISNUMBER(M167),M167-N167,"")</f>
        <v/>
      </c>
      <c r="R167" s="3">
        <f>IF(COUNT(L$2:L167)&gt;0,COUNTIF(L$2:L167,"&gt;0")/COUNT(L$2:L167)*100,"")</f>
        <v/>
      </c>
      <c r="S167" s="3">
        <f>IF(SUMIF(L$2:L167,"&lt;0")&lt;0,SUMIF(L$2:L167,"&gt;0")/ABS(SUMIF(L$2:L167,"&lt;0")),"")</f>
        <v/>
      </c>
      <c r="T167" s="2">
        <f>IF(SUM(H$2:H167)&gt;0,SUM(L$2:L167)/SUM(H$2:H167),"")</f>
        <v/>
      </c>
      <c r="U167" s="2" t="n"/>
      <c r="V167" s="2" t="n"/>
      <c r="AE167">
        <f>IF(ISNUMBER(L167),IF(L167&lt;=-200,1,0),"")</f>
        <v/>
      </c>
      <c r="AG167">
        <f>IF(ISNUMBER(O167),IF(O167&lt;=-300,1,0),"")</f>
        <v/>
      </c>
    </row>
    <row r="168">
      <c r="J168" s="2" t="n"/>
      <c r="K168" s="2">
        <f>IF(ISNUMBER(I168),1.9*I168,"")</f>
        <v/>
      </c>
      <c r="L168" s="2">
        <f>IF(AND(ISNUMBER(J168),ISNUMBER(K168)),J168-K168,"")</f>
        <v/>
      </c>
      <c r="M168" s="2">
        <f>IF(ISNUMBER(L168),IF(ISNUMBER(M167),M167,0)+L168,IF(ISNUMBER(M167),M167,""))</f>
        <v/>
      </c>
      <c r="N168" s="2">
        <f>IF(ISNUMBER(M168),MAX(M$2:M168),"")</f>
        <v/>
      </c>
      <c r="O168" s="2">
        <f>IF(ISNUMBER(M168),M168-N168,"")</f>
        <v/>
      </c>
      <c r="R168" s="3">
        <f>IF(COUNT(L$2:L168)&gt;0,COUNTIF(L$2:L168,"&gt;0")/COUNT(L$2:L168)*100,"")</f>
        <v/>
      </c>
      <c r="S168" s="3">
        <f>IF(SUMIF(L$2:L168,"&lt;0")&lt;0,SUMIF(L$2:L168,"&gt;0")/ABS(SUMIF(L$2:L168,"&lt;0")),"")</f>
        <v/>
      </c>
      <c r="T168" s="2">
        <f>IF(SUM(H$2:H168)&gt;0,SUM(L$2:L168)/SUM(H$2:H168),"")</f>
        <v/>
      </c>
      <c r="U168" s="2" t="n"/>
      <c r="V168" s="2" t="n"/>
      <c r="AE168">
        <f>IF(ISNUMBER(L168),IF(L168&lt;=-200,1,0),"")</f>
        <v/>
      </c>
      <c r="AG168">
        <f>IF(ISNUMBER(O168),IF(O168&lt;=-300,1,0),"")</f>
        <v/>
      </c>
    </row>
    <row r="169">
      <c r="J169" s="2" t="n"/>
      <c r="K169" s="2">
        <f>IF(ISNUMBER(I169),1.9*I169,"")</f>
        <v/>
      </c>
      <c r="L169" s="2">
        <f>IF(AND(ISNUMBER(J169),ISNUMBER(K169)),J169-K169,"")</f>
        <v/>
      </c>
      <c r="M169" s="2">
        <f>IF(ISNUMBER(L169),IF(ISNUMBER(M168),M168,0)+L169,IF(ISNUMBER(M168),M168,""))</f>
        <v/>
      </c>
      <c r="N169" s="2">
        <f>IF(ISNUMBER(M169),MAX(M$2:M169),"")</f>
        <v/>
      </c>
      <c r="O169" s="2">
        <f>IF(ISNUMBER(M169),M169-N169,"")</f>
        <v/>
      </c>
      <c r="R169" s="3">
        <f>IF(COUNT(L$2:L169)&gt;0,COUNTIF(L$2:L169,"&gt;0")/COUNT(L$2:L169)*100,"")</f>
        <v/>
      </c>
      <c r="S169" s="3">
        <f>IF(SUMIF(L$2:L169,"&lt;0")&lt;0,SUMIF(L$2:L169,"&gt;0")/ABS(SUMIF(L$2:L169,"&lt;0")),"")</f>
        <v/>
      </c>
      <c r="T169" s="2">
        <f>IF(SUM(H$2:H169)&gt;0,SUM(L$2:L169)/SUM(H$2:H169),"")</f>
        <v/>
      </c>
      <c r="U169" s="2" t="n"/>
      <c r="V169" s="2" t="n"/>
      <c r="AE169">
        <f>IF(ISNUMBER(L169),IF(L169&lt;=-200,1,0),"")</f>
        <v/>
      </c>
      <c r="AG169">
        <f>IF(ISNUMBER(O169),IF(O169&lt;=-300,1,0),"")</f>
        <v/>
      </c>
    </row>
    <row r="170">
      <c r="J170" s="2" t="n"/>
      <c r="K170" s="2">
        <f>IF(ISNUMBER(I170),1.9*I170,"")</f>
        <v/>
      </c>
      <c r="L170" s="2">
        <f>IF(AND(ISNUMBER(J170),ISNUMBER(K170)),J170-K170,"")</f>
        <v/>
      </c>
      <c r="M170" s="2">
        <f>IF(ISNUMBER(L170),IF(ISNUMBER(M169),M169,0)+L170,IF(ISNUMBER(M169),M169,""))</f>
        <v/>
      </c>
      <c r="N170" s="2">
        <f>IF(ISNUMBER(M170),MAX(M$2:M170),"")</f>
        <v/>
      </c>
      <c r="O170" s="2">
        <f>IF(ISNUMBER(M170),M170-N170,"")</f>
        <v/>
      </c>
      <c r="R170" s="3">
        <f>IF(COUNT(L$2:L170)&gt;0,COUNTIF(L$2:L170,"&gt;0")/COUNT(L$2:L170)*100,"")</f>
        <v/>
      </c>
      <c r="S170" s="3">
        <f>IF(SUMIF(L$2:L170,"&lt;0")&lt;0,SUMIF(L$2:L170,"&gt;0")/ABS(SUMIF(L$2:L170,"&lt;0")),"")</f>
        <v/>
      </c>
      <c r="T170" s="2">
        <f>IF(SUM(H$2:H170)&gt;0,SUM(L$2:L170)/SUM(H$2:H170),"")</f>
        <v/>
      </c>
      <c r="U170" s="2" t="n"/>
      <c r="V170" s="2" t="n"/>
      <c r="AE170">
        <f>IF(ISNUMBER(L170),IF(L170&lt;=-200,1,0),"")</f>
        <v/>
      </c>
      <c r="AG170">
        <f>IF(ISNUMBER(O170),IF(O170&lt;=-300,1,0),"")</f>
        <v/>
      </c>
    </row>
    <row r="171">
      <c r="J171" s="2" t="n"/>
      <c r="K171" s="2">
        <f>IF(ISNUMBER(I171),1.9*I171,"")</f>
        <v/>
      </c>
      <c r="L171" s="2">
        <f>IF(AND(ISNUMBER(J171),ISNUMBER(K171)),J171-K171,"")</f>
        <v/>
      </c>
      <c r="M171" s="2">
        <f>IF(ISNUMBER(L171),IF(ISNUMBER(M170),M170,0)+L171,IF(ISNUMBER(M170),M170,""))</f>
        <v/>
      </c>
      <c r="N171" s="2">
        <f>IF(ISNUMBER(M171),MAX(M$2:M171),"")</f>
        <v/>
      </c>
      <c r="O171" s="2">
        <f>IF(ISNUMBER(M171),M171-N171,"")</f>
        <v/>
      </c>
      <c r="R171" s="3">
        <f>IF(COUNT(L$2:L171)&gt;0,COUNTIF(L$2:L171,"&gt;0")/COUNT(L$2:L171)*100,"")</f>
        <v/>
      </c>
      <c r="S171" s="3">
        <f>IF(SUMIF(L$2:L171,"&lt;0")&lt;0,SUMIF(L$2:L171,"&gt;0")/ABS(SUMIF(L$2:L171,"&lt;0")),"")</f>
        <v/>
      </c>
      <c r="T171" s="2">
        <f>IF(SUM(H$2:H171)&gt;0,SUM(L$2:L171)/SUM(H$2:H171),"")</f>
        <v/>
      </c>
      <c r="U171" s="2" t="n"/>
      <c r="V171" s="2" t="n"/>
      <c r="AE171">
        <f>IF(ISNUMBER(L171),IF(L171&lt;=-200,1,0),"")</f>
        <v/>
      </c>
      <c r="AG171">
        <f>IF(ISNUMBER(O171),IF(O171&lt;=-300,1,0),"")</f>
        <v/>
      </c>
    </row>
    <row r="172">
      <c r="J172" s="2" t="n"/>
      <c r="K172" s="2">
        <f>IF(ISNUMBER(I172),1.9*I172,"")</f>
        <v/>
      </c>
      <c r="L172" s="2">
        <f>IF(AND(ISNUMBER(J172),ISNUMBER(K172)),J172-K172,"")</f>
        <v/>
      </c>
      <c r="M172" s="2">
        <f>IF(ISNUMBER(L172),IF(ISNUMBER(M171),M171,0)+L172,IF(ISNUMBER(M171),M171,""))</f>
        <v/>
      </c>
      <c r="N172" s="2">
        <f>IF(ISNUMBER(M172),MAX(M$2:M172),"")</f>
        <v/>
      </c>
      <c r="O172" s="2">
        <f>IF(ISNUMBER(M172),M172-N172,"")</f>
        <v/>
      </c>
      <c r="R172" s="3">
        <f>IF(COUNT(L$2:L172)&gt;0,COUNTIF(L$2:L172,"&gt;0")/COUNT(L$2:L172)*100,"")</f>
        <v/>
      </c>
      <c r="S172" s="3">
        <f>IF(SUMIF(L$2:L172,"&lt;0")&lt;0,SUMIF(L$2:L172,"&gt;0")/ABS(SUMIF(L$2:L172,"&lt;0")),"")</f>
        <v/>
      </c>
      <c r="T172" s="2">
        <f>IF(SUM(H$2:H172)&gt;0,SUM(L$2:L172)/SUM(H$2:H172),"")</f>
        <v/>
      </c>
      <c r="U172" s="2" t="n"/>
      <c r="V172" s="2" t="n"/>
      <c r="AE172">
        <f>IF(ISNUMBER(L172),IF(L172&lt;=-200,1,0),"")</f>
        <v/>
      </c>
      <c r="AG172">
        <f>IF(ISNUMBER(O172),IF(O172&lt;=-300,1,0),"")</f>
        <v/>
      </c>
    </row>
    <row r="173">
      <c r="J173" s="2" t="n"/>
      <c r="K173" s="2">
        <f>IF(ISNUMBER(I173),1.9*I173,"")</f>
        <v/>
      </c>
      <c r="L173" s="2">
        <f>IF(AND(ISNUMBER(J173),ISNUMBER(K173)),J173-K173,"")</f>
        <v/>
      </c>
      <c r="M173" s="2">
        <f>IF(ISNUMBER(L173),IF(ISNUMBER(M172),M172,0)+L173,IF(ISNUMBER(M172),M172,""))</f>
        <v/>
      </c>
      <c r="N173" s="2">
        <f>IF(ISNUMBER(M173),MAX(M$2:M173),"")</f>
        <v/>
      </c>
      <c r="O173" s="2">
        <f>IF(ISNUMBER(M173),M173-N173,"")</f>
        <v/>
      </c>
      <c r="R173" s="3">
        <f>IF(COUNT(L$2:L173)&gt;0,COUNTIF(L$2:L173,"&gt;0")/COUNT(L$2:L173)*100,"")</f>
        <v/>
      </c>
      <c r="S173" s="3">
        <f>IF(SUMIF(L$2:L173,"&lt;0")&lt;0,SUMIF(L$2:L173,"&gt;0")/ABS(SUMIF(L$2:L173,"&lt;0")),"")</f>
        <v/>
      </c>
      <c r="T173" s="2">
        <f>IF(SUM(H$2:H173)&gt;0,SUM(L$2:L173)/SUM(H$2:H173),"")</f>
        <v/>
      </c>
      <c r="U173" s="2" t="n"/>
      <c r="V173" s="2" t="n"/>
      <c r="AE173">
        <f>IF(ISNUMBER(L173),IF(L173&lt;=-200,1,0),"")</f>
        <v/>
      </c>
      <c r="AG173">
        <f>IF(ISNUMBER(O173),IF(O173&lt;=-300,1,0),"")</f>
        <v/>
      </c>
    </row>
    <row r="174">
      <c r="J174" s="2" t="n"/>
      <c r="K174" s="2">
        <f>IF(ISNUMBER(I174),1.9*I174,"")</f>
        <v/>
      </c>
      <c r="L174" s="2">
        <f>IF(AND(ISNUMBER(J174),ISNUMBER(K174)),J174-K174,"")</f>
        <v/>
      </c>
      <c r="M174" s="2">
        <f>IF(ISNUMBER(L174),IF(ISNUMBER(M173),M173,0)+L174,IF(ISNUMBER(M173),M173,""))</f>
        <v/>
      </c>
      <c r="N174" s="2">
        <f>IF(ISNUMBER(M174),MAX(M$2:M174),"")</f>
        <v/>
      </c>
      <c r="O174" s="2">
        <f>IF(ISNUMBER(M174),M174-N174,"")</f>
        <v/>
      </c>
      <c r="R174" s="3">
        <f>IF(COUNT(L$2:L174)&gt;0,COUNTIF(L$2:L174,"&gt;0")/COUNT(L$2:L174)*100,"")</f>
        <v/>
      </c>
      <c r="S174" s="3">
        <f>IF(SUMIF(L$2:L174,"&lt;0")&lt;0,SUMIF(L$2:L174,"&gt;0")/ABS(SUMIF(L$2:L174,"&lt;0")),"")</f>
        <v/>
      </c>
      <c r="T174" s="2">
        <f>IF(SUM(H$2:H174)&gt;0,SUM(L$2:L174)/SUM(H$2:H174),"")</f>
        <v/>
      </c>
      <c r="U174" s="2" t="n"/>
      <c r="V174" s="2" t="n"/>
      <c r="AE174">
        <f>IF(ISNUMBER(L174),IF(L174&lt;=-200,1,0),"")</f>
        <v/>
      </c>
      <c r="AG174">
        <f>IF(ISNUMBER(O174),IF(O174&lt;=-300,1,0),"")</f>
        <v/>
      </c>
    </row>
    <row r="175">
      <c r="J175" s="2" t="n"/>
      <c r="K175" s="2">
        <f>IF(ISNUMBER(I175),1.9*I175,"")</f>
        <v/>
      </c>
      <c r="L175" s="2">
        <f>IF(AND(ISNUMBER(J175),ISNUMBER(K175)),J175-K175,"")</f>
        <v/>
      </c>
      <c r="M175" s="2">
        <f>IF(ISNUMBER(L175),IF(ISNUMBER(M174),M174,0)+L175,IF(ISNUMBER(M174),M174,""))</f>
        <v/>
      </c>
      <c r="N175" s="2">
        <f>IF(ISNUMBER(M175),MAX(M$2:M175),"")</f>
        <v/>
      </c>
      <c r="O175" s="2">
        <f>IF(ISNUMBER(M175),M175-N175,"")</f>
        <v/>
      </c>
      <c r="R175" s="3">
        <f>IF(COUNT(L$2:L175)&gt;0,COUNTIF(L$2:L175,"&gt;0")/COUNT(L$2:L175)*100,"")</f>
        <v/>
      </c>
      <c r="S175" s="3">
        <f>IF(SUMIF(L$2:L175,"&lt;0")&lt;0,SUMIF(L$2:L175,"&gt;0")/ABS(SUMIF(L$2:L175,"&lt;0")),"")</f>
        <v/>
      </c>
      <c r="T175" s="2">
        <f>IF(SUM(H$2:H175)&gt;0,SUM(L$2:L175)/SUM(H$2:H175),"")</f>
        <v/>
      </c>
      <c r="U175" s="2" t="n"/>
      <c r="V175" s="2" t="n"/>
      <c r="AE175">
        <f>IF(ISNUMBER(L175),IF(L175&lt;=-200,1,0),"")</f>
        <v/>
      </c>
      <c r="AG175">
        <f>IF(ISNUMBER(O175),IF(O175&lt;=-300,1,0),"")</f>
        <v/>
      </c>
    </row>
    <row r="176">
      <c r="J176" s="2" t="n"/>
      <c r="K176" s="2">
        <f>IF(ISNUMBER(I176),1.9*I176,"")</f>
        <v/>
      </c>
      <c r="L176" s="2">
        <f>IF(AND(ISNUMBER(J176),ISNUMBER(K176)),J176-K176,"")</f>
        <v/>
      </c>
      <c r="M176" s="2">
        <f>IF(ISNUMBER(L176),IF(ISNUMBER(M175),M175,0)+L176,IF(ISNUMBER(M175),M175,""))</f>
        <v/>
      </c>
      <c r="N176" s="2">
        <f>IF(ISNUMBER(M176),MAX(M$2:M176),"")</f>
        <v/>
      </c>
      <c r="O176" s="2">
        <f>IF(ISNUMBER(M176),M176-N176,"")</f>
        <v/>
      </c>
      <c r="R176" s="3">
        <f>IF(COUNT(L$2:L176)&gt;0,COUNTIF(L$2:L176,"&gt;0")/COUNT(L$2:L176)*100,"")</f>
        <v/>
      </c>
      <c r="S176" s="3">
        <f>IF(SUMIF(L$2:L176,"&lt;0")&lt;0,SUMIF(L$2:L176,"&gt;0")/ABS(SUMIF(L$2:L176,"&lt;0")),"")</f>
        <v/>
      </c>
      <c r="T176" s="2">
        <f>IF(SUM(H$2:H176)&gt;0,SUM(L$2:L176)/SUM(H$2:H176),"")</f>
        <v/>
      </c>
      <c r="U176" s="2" t="n"/>
      <c r="V176" s="2" t="n"/>
      <c r="AE176">
        <f>IF(ISNUMBER(L176),IF(L176&lt;=-200,1,0),"")</f>
        <v/>
      </c>
      <c r="AG176">
        <f>IF(ISNUMBER(O176),IF(O176&lt;=-300,1,0),"")</f>
        <v/>
      </c>
    </row>
    <row r="177">
      <c r="J177" s="2" t="n"/>
      <c r="K177" s="2">
        <f>IF(ISNUMBER(I177),1.9*I177,"")</f>
        <v/>
      </c>
      <c r="L177" s="2">
        <f>IF(AND(ISNUMBER(J177),ISNUMBER(K177)),J177-K177,"")</f>
        <v/>
      </c>
      <c r="M177" s="2">
        <f>IF(ISNUMBER(L177),IF(ISNUMBER(M176),M176,0)+L177,IF(ISNUMBER(M176),M176,""))</f>
        <v/>
      </c>
      <c r="N177" s="2">
        <f>IF(ISNUMBER(M177),MAX(M$2:M177),"")</f>
        <v/>
      </c>
      <c r="O177" s="2">
        <f>IF(ISNUMBER(M177),M177-N177,"")</f>
        <v/>
      </c>
      <c r="R177" s="3">
        <f>IF(COUNT(L$2:L177)&gt;0,COUNTIF(L$2:L177,"&gt;0")/COUNT(L$2:L177)*100,"")</f>
        <v/>
      </c>
      <c r="S177" s="3">
        <f>IF(SUMIF(L$2:L177,"&lt;0")&lt;0,SUMIF(L$2:L177,"&gt;0")/ABS(SUMIF(L$2:L177,"&lt;0")),"")</f>
        <v/>
      </c>
      <c r="T177" s="2">
        <f>IF(SUM(H$2:H177)&gt;0,SUM(L$2:L177)/SUM(H$2:H177),"")</f>
        <v/>
      </c>
      <c r="U177" s="2" t="n"/>
      <c r="V177" s="2" t="n"/>
      <c r="AE177">
        <f>IF(ISNUMBER(L177),IF(L177&lt;=-200,1,0),"")</f>
        <v/>
      </c>
      <c r="AG177">
        <f>IF(ISNUMBER(O177),IF(O177&lt;=-300,1,0),"")</f>
        <v/>
      </c>
    </row>
    <row r="178">
      <c r="J178" s="2" t="n"/>
      <c r="K178" s="2">
        <f>IF(ISNUMBER(I178),1.9*I178,"")</f>
        <v/>
      </c>
      <c r="L178" s="2">
        <f>IF(AND(ISNUMBER(J178),ISNUMBER(K178)),J178-K178,"")</f>
        <v/>
      </c>
      <c r="M178" s="2">
        <f>IF(ISNUMBER(L178),IF(ISNUMBER(M177),M177,0)+L178,IF(ISNUMBER(M177),M177,""))</f>
        <v/>
      </c>
      <c r="N178" s="2">
        <f>IF(ISNUMBER(M178),MAX(M$2:M178),"")</f>
        <v/>
      </c>
      <c r="O178" s="2">
        <f>IF(ISNUMBER(M178),M178-N178,"")</f>
        <v/>
      </c>
      <c r="R178" s="3">
        <f>IF(COUNT(L$2:L178)&gt;0,COUNTIF(L$2:L178,"&gt;0")/COUNT(L$2:L178)*100,"")</f>
        <v/>
      </c>
      <c r="S178" s="3">
        <f>IF(SUMIF(L$2:L178,"&lt;0")&lt;0,SUMIF(L$2:L178,"&gt;0")/ABS(SUMIF(L$2:L178,"&lt;0")),"")</f>
        <v/>
      </c>
      <c r="T178" s="2">
        <f>IF(SUM(H$2:H178)&gt;0,SUM(L$2:L178)/SUM(H$2:H178),"")</f>
        <v/>
      </c>
      <c r="U178" s="2" t="n"/>
      <c r="V178" s="2" t="n"/>
      <c r="AE178">
        <f>IF(ISNUMBER(L178),IF(L178&lt;=-200,1,0),"")</f>
        <v/>
      </c>
      <c r="AG178">
        <f>IF(ISNUMBER(O178),IF(O178&lt;=-300,1,0),"")</f>
        <v/>
      </c>
    </row>
    <row r="179">
      <c r="J179" s="2" t="n"/>
      <c r="K179" s="2">
        <f>IF(ISNUMBER(I179),1.9*I179,"")</f>
        <v/>
      </c>
      <c r="L179" s="2">
        <f>IF(AND(ISNUMBER(J179),ISNUMBER(K179)),J179-K179,"")</f>
        <v/>
      </c>
      <c r="M179" s="2">
        <f>IF(ISNUMBER(L179),IF(ISNUMBER(M178),M178,0)+L179,IF(ISNUMBER(M178),M178,""))</f>
        <v/>
      </c>
      <c r="N179" s="2">
        <f>IF(ISNUMBER(M179),MAX(M$2:M179),"")</f>
        <v/>
      </c>
      <c r="O179" s="2">
        <f>IF(ISNUMBER(M179),M179-N179,"")</f>
        <v/>
      </c>
      <c r="R179" s="3">
        <f>IF(COUNT(L$2:L179)&gt;0,COUNTIF(L$2:L179,"&gt;0")/COUNT(L$2:L179)*100,"")</f>
        <v/>
      </c>
      <c r="S179" s="3">
        <f>IF(SUMIF(L$2:L179,"&lt;0")&lt;0,SUMIF(L$2:L179,"&gt;0")/ABS(SUMIF(L$2:L179,"&lt;0")),"")</f>
        <v/>
      </c>
      <c r="T179" s="2">
        <f>IF(SUM(H$2:H179)&gt;0,SUM(L$2:L179)/SUM(H$2:H179),"")</f>
        <v/>
      </c>
      <c r="U179" s="2" t="n"/>
      <c r="V179" s="2" t="n"/>
      <c r="AE179">
        <f>IF(ISNUMBER(L179),IF(L179&lt;=-200,1,0),"")</f>
        <v/>
      </c>
      <c r="AG179">
        <f>IF(ISNUMBER(O179),IF(O179&lt;=-300,1,0),"")</f>
        <v/>
      </c>
    </row>
    <row r="180">
      <c r="J180" s="2" t="n"/>
      <c r="K180" s="2">
        <f>IF(ISNUMBER(I180),1.9*I180,"")</f>
        <v/>
      </c>
      <c r="L180" s="2">
        <f>IF(AND(ISNUMBER(J180),ISNUMBER(K180)),J180-K180,"")</f>
        <v/>
      </c>
      <c r="M180" s="2">
        <f>IF(ISNUMBER(L180),IF(ISNUMBER(M179),M179,0)+L180,IF(ISNUMBER(M179),M179,""))</f>
        <v/>
      </c>
      <c r="N180" s="2">
        <f>IF(ISNUMBER(M180),MAX(M$2:M180),"")</f>
        <v/>
      </c>
      <c r="O180" s="2">
        <f>IF(ISNUMBER(M180),M180-N180,"")</f>
        <v/>
      </c>
      <c r="R180" s="3">
        <f>IF(COUNT(L$2:L180)&gt;0,COUNTIF(L$2:L180,"&gt;0")/COUNT(L$2:L180)*100,"")</f>
        <v/>
      </c>
      <c r="S180" s="3">
        <f>IF(SUMIF(L$2:L180,"&lt;0")&lt;0,SUMIF(L$2:L180,"&gt;0")/ABS(SUMIF(L$2:L180,"&lt;0")),"")</f>
        <v/>
      </c>
      <c r="T180" s="2">
        <f>IF(SUM(H$2:H180)&gt;0,SUM(L$2:L180)/SUM(H$2:H180),"")</f>
        <v/>
      </c>
      <c r="U180" s="2" t="n"/>
      <c r="V180" s="2" t="n"/>
      <c r="AE180">
        <f>IF(ISNUMBER(L180),IF(L180&lt;=-200,1,0),"")</f>
        <v/>
      </c>
      <c r="AG180">
        <f>IF(ISNUMBER(O180),IF(O180&lt;=-300,1,0),"")</f>
        <v/>
      </c>
    </row>
    <row r="181">
      <c r="J181" s="2" t="n"/>
      <c r="K181" s="2">
        <f>IF(ISNUMBER(I181),1.9*I181,"")</f>
        <v/>
      </c>
      <c r="L181" s="2">
        <f>IF(AND(ISNUMBER(J181),ISNUMBER(K181)),J181-K181,"")</f>
        <v/>
      </c>
      <c r="M181" s="2">
        <f>IF(ISNUMBER(L181),IF(ISNUMBER(M180),M180,0)+L181,IF(ISNUMBER(M180),M180,""))</f>
        <v/>
      </c>
      <c r="N181" s="2">
        <f>IF(ISNUMBER(M181),MAX(M$2:M181),"")</f>
        <v/>
      </c>
      <c r="O181" s="2">
        <f>IF(ISNUMBER(M181),M181-N181,"")</f>
        <v/>
      </c>
      <c r="R181" s="3">
        <f>IF(COUNT(L$2:L181)&gt;0,COUNTIF(L$2:L181,"&gt;0")/COUNT(L$2:L181)*100,"")</f>
        <v/>
      </c>
      <c r="S181" s="3">
        <f>IF(SUMIF(L$2:L181,"&lt;0")&lt;0,SUMIF(L$2:L181,"&gt;0")/ABS(SUMIF(L$2:L181,"&lt;0")),"")</f>
        <v/>
      </c>
      <c r="T181" s="2">
        <f>IF(SUM(H$2:H181)&gt;0,SUM(L$2:L181)/SUM(H$2:H181),"")</f>
        <v/>
      </c>
      <c r="U181" s="2" t="n"/>
      <c r="V181" s="2" t="n"/>
      <c r="AE181">
        <f>IF(ISNUMBER(L181),IF(L181&lt;=-200,1,0),"")</f>
        <v/>
      </c>
      <c r="AG181">
        <f>IF(ISNUMBER(O181),IF(O181&lt;=-300,1,0),"")</f>
        <v/>
      </c>
    </row>
    <row r="182">
      <c r="J182" s="2" t="n"/>
      <c r="K182" s="2">
        <f>IF(ISNUMBER(I182),1.9*I182,"")</f>
        <v/>
      </c>
      <c r="L182" s="2">
        <f>IF(AND(ISNUMBER(J182),ISNUMBER(K182)),J182-K182,"")</f>
        <v/>
      </c>
      <c r="M182" s="2">
        <f>IF(ISNUMBER(L182),IF(ISNUMBER(M181),M181,0)+L182,IF(ISNUMBER(M181),M181,""))</f>
        <v/>
      </c>
      <c r="N182" s="2">
        <f>IF(ISNUMBER(M182),MAX(M$2:M182),"")</f>
        <v/>
      </c>
      <c r="O182" s="2">
        <f>IF(ISNUMBER(M182),M182-N182,"")</f>
        <v/>
      </c>
      <c r="R182" s="3">
        <f>IF(COUNT(L$2:L182)&gt;0,COUNTIF(L$2:L182,"&gt;0")/COUNT(L$2:L182)*100,"")</f>
        <v/>
      </c>
      <c r="S182" s="3">
        <f>IF(SUMIF(L$2:L182,"&lt;0")&lt;0,SUMIF(L$2:L182,"&gt;0")/ABS(SUMIF(L$2:L182,"&lt;0")),"")</f>
        <v/>
      </c>
      <c r="T182" s="2">
        <f>IF(SUM(H$2:H182)&gt;0,SUM(L$2:L182)/SUM(H$2:H182),"")</f>
        <v/>
      </c>
      <c r="U182" s="2" t="n"/>
      <c r="V182" s="2" t="n"/>
      <c r="AE182">
        <f>IF(ISNUMBER(L182),IF(L182&lt;=-200,1,0),"")</f>
        <v/>
      </c>
      <c r="AG182">
        <f>IF(ISNUMBER(O182),IF(O182&lt;=-300,1,0),"")</f>
        <v/>
      </c>
    </row>
    <row r="183">
      <c r="J183" s="2" t="n"/>
      <c r="K183" s="2">
        <f>IF(ISNUMBER(I183),1.9*I183,"")</f>
        <v/>
      </c>
      <c r="L183" s="2">
        <f>IF(AND(ISNUMBER(J183),ISNUMBER(K183)),J183-K183,"")</f>
        <v/>
      </c>
      <c r="M183" s="2">
        <f>IF(ISNUMBER(L183),IF(ISNUMBER(M182),M182,0)+L183,IF(ISNUMBER(M182),M182,""))</f>
        <v/>
      </c>
      <c r="N183" s="2">
        <f>IF(ISNUMBER(M183),MAX(M$2:M183),"")</f>
        <v/>
      </c>
      <c r="O183" s="2">
        <f>IF(ISNUMBER(M183),M183-N183,"")</f>
        <v/>
      </c>
      <c r="R183" s="3">
        <f>IF(COUNT(L$2:L183)&gt;0,COUNTIF(L$2:L183,"&gt;0")/COUNT(L$2:L183)*100,"")</f>
        <v/>
      </c>
      <c r="S183" s="3">
        <f>IF(SUMIF(L$2:L183,"&lt;0")&lt;0,SUMIF(L$2:L183,"&gt;0")/ABS(SUMIF(L$2:L183,"&lt;0")),"")</f>
        <v/>
      </c>
      <c r="T183" s="2">
        <f>IF(SUM(H$2:H183)&gt;0,SUM(L$2:L183)/SUM(H$2:H183),"")</f>
        <v/>
      </c>
      <c r="U183" s="2" t="n"/>
      <c r="V183" s="2" t="n"/>
      <c r="AE183">
        <f>IF(ISNUMBER(L183),IF(L183&lt;=-200,1,0),"")</f>
        <v/>
      </c>
      <c r="AG183">
        <f>IF(ISNUMBER(O183),IF(O183&lt;=-300,1,0),"")</f>
        <v/>
      </c>
    </row>
    <row r="184">
      <c r="J184" s="2" t="n"/>
      <c r="K184" s="2">
        <f>IF(ISNUMBER(I184),1.9*I184,"")</f>
        <v/>
      </c>
      <c r="L184" s="2">
        <f>IF(AND(ISNUMBER(J184),ISNUMBER(K184)),J184-K184,"")</f>
        <v/>
      </c>
      <c r="M184" s="2">
        <f>IF(ISNUMBER(L184),IF(ISNUMBER(M183),M183,0)+L184,IF(ISNUMBER(M183),M183,""))</f>
        <v/>
      </c>
      <c r="N184" s="2">
        <f>IF(ISNUMBER(M184),MAX(M$2:M184),"")</f>
        <v/>
      </c>
      <c r="O184" s="2">
        <f>IF(ISNUMBER(M184),M184-N184,"")</f>
        <v/>
      </c>
      <c r="R184" s="3">
        <f>IF(COUNT(L$2:L184)&gt;0,COUNTIF(L$2:L184,"&gt;0")/COUNT(L$2:L184)*100,"")</f>
        <v/>
      </c>
      <c r="S184" s="3">
        <f>IF(SUMIF(L$2:L184,"&lt;0")&lt;0,SUMIF(L$2:L184,"&gt;0")/ABS(SUMIF(L$2:L184,"&lt;0")),"")</f>
        <v/>
      </c>
      <c r="T184" s="2">
        <f>IF(SUM(H$2:H184)&gt;0,SUM(L$2:L184)/SUM(H$2:H184),"")</f>
        <v/>
      </c>
      <c r="U184" s="2" t="n"/>
      <c r="V184" s="2" t="n"/>
      <c r="AE184">
        <f>IF(ISNUMBER(L184),IF(L184&lt;=-200,1,0),"")</f>
        <v/>
      </c>
      <c r="AG184">
        <f>IF(ISNUMBER(O184),IF(O184&lt;=-300,1,0),"")</f>
        <v/>
      </c>
    </row>
    <row r="185">
      <c r="J185" s="2" t="n"/>
      <c r="K185" s="2">
        <f>IF(ISNUMBER(I185),1.9*I185,"")</f>
        <v/>
      </c>
      <c r="L185" s="2">
        <f>IF(AND(ISNUMBER(J185),ISNUMBER(K185)),J185-K185,"")</f>
        <v/>
      </c>
      <c r="M185" s="2">
        <f>IF(ISNUMBER(L185),IF(ISNUMBER(M184),M184,0)+L185,IF(ISNUMBER(M184),M184,""))</f>
        <v/>
      </c>
      <c r="N185" s="2">
        <f>IF(ISNUMBER(M185),MAX(M$2:M185),"")</f>
        <v/>
      </c>
      <c r="O185" s="2">
        <f>IF(ISNUMBER(M185),M185-N185,"")</f>
        <v/>
      </c>
      <c r="R185" s="3">
        <f>IF(COUNT(L$2:L185)&gt;0,COUNTIF(L$2:L185,"&gt;0")/COUNT(L$2:L185)*100,"")</f>
        <v/>
      </c>
      <c r="S185" s="3">
        <f>IF(SUMIF(L$2:L185,"&lt;0")&lt;0,SUMIF(L$2:L185,"&gt;0")/ABS(SUMIF(L$2:L185,"&lt;0")),"")</f>
        <v/>
      </c>
      <c r="T185" s="2">
        <f>IF(SUM(H$2:H185)&gt;0,SUM(L$2:L185)/SUM(H$2:H185),"")</f>
        <v/>
      </c>
      <c r="U185" s="2" t="n"/>
      <c r="V185" s="2" t="n"/>
      <c r="AE185">
        <f>IF(ISNUMBER(L185),IF(L185&lt;=-200,1,0),"")</f>
        <v/>
      </c>
      <c r="AG185">
        <f>IF(ISNUMBER(O185),IF(O185&lt;=-300,1,0),"")</f>
        <v/>
      </c>
    </row>
    <row r="186">
      <c r="J186" s="2" t="n"/>
      <c r="K186" s="2">
        <f>IF(ISNUMBER(I186),1.9*I186,"")</f>
        <v/>
      </c>
      <c r="L186" s="2">
        <f>IF(AND(ISNUMBER(J186),ISNUMBER(K186)),J186-K186,"")</f>
        <v/>
      </c>
      <c r="M186" s="2">
        <f>IF(ISNUMBER(L186),IF(ISNUMBER(M185),M185,0)+L186,IF(ISNUMBER(M185),M185,""))</f>
        <v/>
      </c>
      <c r="N186" s="2">
        <f>IF(ISNUMBER(M186),MAX(M$2:M186),"")</f>
        <v/>
      </c>
      <c r="O186" s="2">
        <f>IF(ISNUMBER(M186),M186-N186,"")</f>
        <v/>
      </c>
      <c r="R186" s="3">
        <f>IF(COUNT(L$2:L186)&gt;0,COUNTIF(L$2:L186,"&gt;0")/COUNT(L$2:L186)*100,"")</f>
        <v/>
      </c>
      <c r="S186" s="3">
        <f>IF(SUMIF(L$2:L186,"&lt;0")&lt;0,SUMIF(L$2:L186,"&gt;0")/ABS(SUMIF(L$2:L186,"&lt;0")),"")</f>
        <v/>
      </c>
      <c r="T186" s="2">
        <f>IF(SUM(H$2:H186)&gt;0,SUM(L$2:L186)/SUM(H$2:H186),"")</f>
        <v/>
      </c>
      <c r="U186" s="2" t="n"/>
      <c r="V186" s="2" t="n"/>
      <c r="AE186">
        <f>IF(ISNUMBER(L186),IF(L186&lt;=-200,1,0),"")</f>
        <v/>
      </c>
      <c r="AG186">
        <f>IF(ISNUMBER(O186),IF(O186&lt;=-300,1,0),"")</f>
        <v/>
      </c>
    </row>
    <row r="187">
      <c r="J187" s="2" t="n"/>
      <c r="K187" s="2">
        <f>IF(ISNUMBER(I187),1.9*I187,"")</f>
        <v/>
      </c>
      <c r="L187" s="2">
        <f>IF(AND(ISNUMBER(J187),ISNUMBER(K187)),J187-K187,"")</f>
        <v/>
      </c>
      <c r="M187" s="2">
        <f>IF(ISNUMBER(L187),IF(ISNUMBER(M186),M186,0)+L187,IF(ISNUMBER(M186),M186,""))</f>
        <v/>
      </c>
      <c r="N187" s="2">
        <f>IF(ISNUMBER(M187),MAX(M$2:M187),"")</f>
        <v/>
      </c>
      <c r="O187" s="2">
        <f>IF(ISNUMBER(M187),M187-N187,"")</f>
        <v/>
      </c>
      <c r="R187" s="3">
        <f>IF(COUNT(L$2:L187)&gt;0,COUNTIF(L$2:L187,"&gt;0")/COUNT(L$2:L187)*100,"")</f>
        <v/>
      </c>
      <c r="S187" s="3">
        <f>IF(SUMIF(L$2:L187,"&lt;0")&lt;0,SUMIF(L$2:L187,"&gt;0")/ABS(SUMIF(L$2:L187,"&lt;0")),"")</f>
        <v/>
      </c>
      <c r="T187" s="2">
        <f>IF(SUM(H$2:H187)&gt;0,SUM(L$2:L187)/SUM(H$2:H187),"")</f>
        <v/>
      </c>
      <c r="U187" s="2" t="n"/>
      <c r="V187" s="2" t="n"/>
      <c r="AE187">
        <f>IF(ISNUMBER(L187),IF(L187&lt;=-200,1,0),"")</f>
        <v/>
      </c>
      <c r="AG187">
        <f>IF(ISNUMBER(O187),IF(O187&lt;=-300,1,0),"")</f>
        <v/>
      </c>
    </row>
    <row r="188">
      <c r="J188" s="2" t="n"/>
      <c r="K188" s="2">
        <f>IF(ISNUMBER(I188),1.9*I188,"")</f>
        <v/>
      </c>
      <c r="L188" s="2">
        <f>IF(AND(ISNUMBER(J188),ISNUMBER(K188)),J188-K188,"")</f>
        <v/>
      </c>
      <c r="M188" s="2">
        <f>IF(ISNUMBER(L188),IF(ISNUMBER(M187),M187,0)+L188,IF(ISNUMBER(M187),M187,""))</f>
        <v/>
      </c>
      <c r="N188" s="2">
        <f>IF(ISNUMBER(M188),MAX(M$2:M188),"")</f>
        <v/>
      </c>
      <c r="O188" s="2">
        <f>IF(ISNUMBER(M188),M188-N188,"")</f>
        <v/>
      </c>
      <c r="R188" s="3">
        <f>IF(COUNT(L$2:L188)&gt;0,COUNTIF(L$2:L188,"&gt;0")/COUNT(L$2:L188)*100,"")</f>
        <v/>
      </c>
      <c r="S188" s="3">
        <f>IF(SUMIF(L$2:L188,"&lt;0")&lt;0,SUMIF(L$2:L188,"&gt;0")/ABS(SUMIF(L$2:L188,"&lt;0")),"")</f>
        <v/>
      </c>
      <c r="T188" s="2">
        <f>IF(SUM(H$2:H188)&gt;0,SUM(L$2:L188)/SUM(H$2:H188),"")</f>
        <v/>
      </c>
      <c r="U188" s="2" t="n"/>
      <c r="V188" s="2" t="n"/>
      <c r="AE188">
        <f>IF(ISNUMBER(L188),IF(L188&lt;=-200,1,0),"")</f>
        <v/>
      </c>
      <c r="AG188">
        <f>IF(ISNUMBER(O188),IF(O188&lt;=-300,1,0),"")</f>
        <v/>
      </c>
    </row>
    <row r="189">
      <c r="J189" s="2" t="n"/>
      <c r="K189" s="2">
        <f>IF(ISNUMBER(I189),1.9*I189,"")</f>
        <v/>
      </c>
      <c r="L189" s="2">
        <f>IF(AND(ISNUMBER(J189),ISNUMBER(K189)),J189-K189,"")</f>
        <v/>
      </c>
      <c r="M189" s="2">
        <f>IF(ISNUMBER(L189),IF(ISNUMBER(M188),M188,0)+L189,IF(ISNUMBER(M188),M188,""))</f>
        <v/>
      </c>
      <c r="N189" s="2">
        <f>IF(ISNUMBER(M189),MAX(M$2:M189),"")</f>
        <v/>
      </c>
      <c r="O189" s="2">
        <f>IF(ISNUMBER(M189),M189-N189,"")</f>
        <v/>
      </c>
      <c r="R189" s="3">
        <f>IF(COUNT(L$2:L189)&gt;0,COUNTIF(L$2:L189,"&gt;0")/COUNT(L$2:L189)*100,"")</f>
        <v/>
      </c>
      <c r="S189" s="3">
        <f>IF(SUMIF(L$2:L189,"&lt;0")&lt;0,SUMIF(L$2:L189,"&gt;0")/ABS(SUMIF(L$2:L189,"&lt;0")),"")</f>
        <v/>
      </c>
      <c r="T189" s="2">
        <f>IF(SUM(H$2:H189)&gt;0,SUM(L$2:L189)/SUM(H$2:H189),"")</f>
        <v/>
      </c>
      <c r="U189" s="2" t="n"/>
      <c r="V189" s="2" t="n"/>
      <c r="AE189">
        <f>IF(ISNUMBER(L189),IF(L189&lt;=-200,1,0),"")</f>
        <v/>
      </c>
      <c r="AG189">
        <f>IF(ISNUMBER(O189),IF(O189&lt;=-300,1,0),"")</f>
        <v/>
      </c>
    </row>
    <row r="190">
      <c r="J190" s="2" t="n"/>
      <c r="K190" s="2">
        <f>IF(ISNUMBER(I190),1.9*I190,"")</f>
        <v/>
      </c>
      <c r="L190" s="2">
        <f>IF(AND(ISNUMBER(J190),ISNUMBER(K190)),J190-K190,"")</f>
        <v/>
      </c>
      <c r="M190" s="2">
        <f>IF(ISNUMBER(L190),IF(ISNUMBER(M189),M189,0)+L190,IF(ISNUMBER(M189),M189,""))</f>
        <v/>
      </c>
      <c r="N190" s="2">
        <f>IF(ISNUMBER(M190),MAX(M$2:M190),"")</f>
        <v/>
      </c>
      <c r="O190" s="2">
        <f>IF(ISNUMBER(M190),M190-N190,"")</f>
        <v/>
      </c>
      <c r="R190" s="3">
        <f>IF(COUNT(L$2:L190)&gt;0,COUNTIF(L$2:L190,"&gt;0")/COUNT(L$2:L190)*100,"")</f>
        <v/>
      </c>
      <c r="S190" s="3">
        <f>IF(SUMIF(L$2:L190,"&lt;0")&lt;0,SUMIF(L$2:L190,"&gt;0")/ABS(SUMIF(L$2:L190,"&lt;0")),"")</f>
        <v/>
      </c>
      <c r="T190" s="2">
        <f>IF(SUM(H$2:H190)&gt;0,SUM(L$2:L190)/SUM(H$2:H190),"")</f>
        <v/>
      </c>
      <c r="U190" s="2" t="n"/>
      <c r="V190" s="2" t="n"/>
      <c r="AE190">
        <f>IF(ISNUMBER(L190),IF(L190&lt;=-200,1,0),"")</f>
        <v/>
      </c>
      <c r="AG190">
        <f>IF(ISNUMBER(O190),IF(O190&lt;=-300,1,0),"")</f>
        <v/>
      </c>
    </row>
    <row r="191">
      <c r="J191" s="2" t="n"/>
      <c r="K191" s="2">
        <f>IF(ISNUMBER(I191),1.9*I191,"")</f>
        <v/>
      </c>
      <c r="L191" s="2">
        <f>IF(AND(ISNUMBER(J191),ISNUMBER(K191)),J191-K191,"")</f>
        <v/>
      </c>
      <c r="M191" s="2">
        <f>IF(ISNUMBER(L191),IF(ISNUMBER(M190),M190,0)+L191,IF(ISNUMBER(M190),M190,""))</f>
        <v/>
      </c>
      <c r="N191" s="2">
        <f>IF(ISNUMBER(M191),MAX(M$2:M191),"")</f>
        <v/>
      </c>
      <c r="O191" s="2">
        <f>IF(ISNUMBER(M191),M191-N191,"")</f>
        <v/>
      </c>
      <c r="R191" s="3">
        <f>IF(COUNT(L$2:L191)&gt;0,COUNTIF(L$2:L191,"&gt;0")/COUNT(L$2:L191)*100,"")</f>
        <v/>
      </c>
      <c r="S191" s="3">
        <f>IF(SUMIF(L$2:L191,"&lt;0")&lt;0,SUMIF(L$2:L191,"&gt;0")/ABS(SUMIF(L$2:L191,"&lt;0")),"")</f>
        <v/>
      </c>
      <c r="T191" s="2">
        <f>IF(SUM(H$2:H191)&gt;0,SUM(L$2:L191)/SUM(H$2:H191),"")</f>
        <v/>
      </c>
      <c r="U191" s="2" t="n"/>
      <c r="V191" s="2" t="n"/>
      <c r="AE191">
        <f>IF(ISNUMBER(L191),IF(L191&lt;=-200,1,0),"")</f>
        <v/>
      </c>
      <c r="AG191">
        <f>IF(ISNUMBER(O191),IF(O191&lt;=-300,1,0),"")</f>
        <v/>
      </c>
    </row>
    <row r="192">
      <c r="J192" s="2" t="n"/>
      <c r="K192" s="2">
        <f>IF(ISNUMBER(I192),1.9*I192,"")</f>
        <v/>
      </c>
      <c r="L192" s="2">
        <f>IF(AND(ISNUMBER(J192),ISNUMBER(K192)),J192-K192,"")</f>
        <v/>
      </c>
      <c r="M192" s="2">
        <f>IF(ISNUMBER(L192),IF(ISNUMBER(M191),M191,0)+L192,IF(ISNUMBER(M191),M191,""))</f>
        <v/>
      </c>
      <c r="N192" s="2">
        <f>IF(ISNUMBER(M192),MAX(M$2:M192),"")</f>
        <v/>
      </c>
      <c r="O192" s="2">
        <f>IF(ISNUMBER(M192),M192-N192,"")</f>
        <v/>
      </c>
      <c r="R192" s="3">
        <f>IF(COUNT(L$2:L192)&gt;0,COUNTIF(L$2:L192,"&gt;0")/COUNT(L$2:L192)*100,"")</f>
        <v/>
      </c>
      <c r="S192" s="3">
        <f>IF(SUMIF(L$2:L192,"&lt;0")&lt;0,SUMIF(L$2:L192,"&gt;0")/ABS(SUMIF(L$2:L192,"&lt;0")),"")</f>
        <v/>
      </c>
      <c r="T192" s="2">
        <f>IF(SUM(H$2:H192)&gt;0,SUM(L$2:L192)/SUM(H$2:H192),"")</f>
        <v/>
      </c>
      <c r="U192" s="2" t="n"/>
      <c r="V192" s="2" t="n"/>
      <c r="AE192">
        <f>IF(ISNUMBER(L192),IF(L192&lt;=-200,1,0),"")</f>
        <v/>
      </c>
      <c r="AG192">
        <f>IF(ISNUMBER(O192),IF(O192&lt;=-300,1,0),"")</f>
        <v/>
      </c>
    </row>
    <row r="193">
      <c r="J193" s="2" t="n"/>
      <c r="K193" s="2">
        <f>IF(ISNUMBER(I193),1.9*I193,"")</f>
        <v/>
      </c>
      <c r="L193" s="2">
        <f>IF(AND(ISNUMBER(J193),ISNUMBER(K193)),J193-K193,"")</f>
        <v/>
      </c>
      <c r="M193" s="2">
        <f>IF(ISNUMBER(L193),IF(ISNUMBER(M192),M192,0)+L193,IF(ISNUMBER(M192),M192,""))</f>
        <v/>
      </c>
      <c r="N193" s="2">
        <f>IF(ISNUMBER(M193),MAX(M$2:M193),"")</f>
        <v/>
      </c>
      <c r="O193" s="2">
        <f>IF(ISNUMBER(M193),M193-N193,"")</f>
        <v/>
      </c>
      <c r="R193" s="3">
        <f>IF(COUNT(L$2:L193)&gt;0,COUNTIF(L$2:L193,"&gt;0")/COUNT(L$2:L193)*100,"")</f>
        <v/>
      </c>
      <c r="S193" s="3">
        <f>IF(SUMIF(L$2:L193,"&lt;0")&lt;0,SUMIF(L$2:L193,"&gt;0")/ABS(SUMIF(L$2:L193,"&lt;0")),"")</f>
        <v/>
      </c>
      <c r="T193" s="2">
        <f>IF(SUM(H$2:H193)&gt;0,SUM(L$2:L193)/SUM(H$2:H193),"")</f>
        <v/>
      </c>
      <c r="U193" s="2" t="n"/>
      <c r="V193" s="2" t="n"/>
      <c r="AE193">
        <f>IF(ISNUMBER(L193),IF(L193&lt;=-200,1,0),"")</f>
        <v/>
      </c>
      <c r="AG193">
        <f>IF(ISNUMBER(O193),IF(O193&lt;=-300,1,0),"")</f>
        <v/>
      </c>
    </row>
    <row r="194">
      <c r="J194" s="2" t="n"/>
      <c r="K194" s="2">
        <f>IF(ISNUMBER(I194),1.9*I194,"")</f>
        <v/>
      </c>
      <c r="L194" s="2">
        <f>IF(AND(ISNUMBER(J194),ISNUMBER(K194)),J194-K194,"")</f>
        <v/>
      </c>
      <c r="M194" s="2">
        <f>IF(ISNUMBER(L194),IF(ISNUMBER(M193),M193,0)+L194,IF(ISNUMBER(M193),M193,""))</f>
        <v/>
      </c>
      <c r="N194" s="2">
        <f>IF(ISNUMBER(M194),MAX(M$2:M194),"")</f>
        <v/>
      </c>
      <c r="O194" s="2">
        <f>IF(ISNUMBER(M194),M194-N194,"")</f>
        <v/>
      </c>
      <c r="R194" s="3">
        <f>IF(COUNT(L$2:L194)&gt;0,COUNTIF(L$2:L194,"&gt;0")/COUNT(L$2:L194)*100,"")</f>
        <v/>
      </c>
      <c r="S194" s="3">
        <f>IF(SUMIF(L$2:L194,"&lt;0")&lt;0,SUMIF(L$2:L194,"&gt;0")/ABS(SUMIF(L$2:L194,"&lt;0")),"")</f>
        <v/>
      </c>
      <c r="T194" s="2">
        <f>IF(SUM(H$2:H194)&gt;0,SUM(L$2:L194)/SUM(H$2:H194),"")</f>
        <v/>
      </c>
      <c r="U194" s="2" t="n"/>
      <c r="V194" s="2" t="n"/>
      <c r="AE194">
        <f>IF(ISNUMBER(L194),IF(L194&lt;=-200,1,0),"")</f>
        <v/>
      </c>
      <c r="AG194">
        <f>IF(ISNUMBER(O194),IF(O194&lt;=-300,1,0),"")</f>
        <v/>
      </c>
    </row>
    <row r="195">
      <c r="J195" s="2" t="n"/>
      <c r="K195" s="2">
        <f>IF(ISNUMBER(I195),1.9*I195,"")</f>
        <v/>
      </c>
      <c r="L195" s="2">
        <f>IF(AND(ISNUMBER(J195),ISNUMBER(K195)),J195-K195,"")</f>
        <v/>
      </c>
      <c r="M195" s="2">
        <f>IF(ISNUMBER(L195),IF(ISNUMBER(M194),M194,0)+L195,IF(ISNUMBER(M194),M194,""))</f>
        <v/>
      </c>
      <c r="N195" s="2">
        <f>IF(ISNUMBER(M195),MAX(M$2:M195),"")</f>
        <v/>
      </c>
      <c r="O195" s="2">
        <f>IF(ISNUMBER(M195),M195-N195,"")</f>
        <v/>
      </c>
      <c r="R195" s="3">
        <f>IF(COUNT(L$2:L195)&gt;0,COUNTIF(L$2:L195,"&gt;0")/COUNT(L$2:L195)*100,"")</f>
        <v/>
      </c>
      <c r="S195" s="3">
        <f>IF(SUMIF(L$2:L195,"&lt;0")&lt;0,SUMIF(L$2:L195,"&gt;0")/ABS(SUMIF(L$2:L195,"&lt;0")),"")</f>
        <v/>
      </c>
      <c r="T195" s="2">
        <f>IF(SUM(H$2:H195)&gt;0,SUM(L$2:L195)/SUM(H$2:H195),"")</f>
        <v/>
      </c>
      <c r="U195" s="2" t="n"/>
      <c r="V195" s="2" t="n"/>
      <c r="AE195">
        <f>IF(ISNUMBER(L195),IF(L195&lt;=-200,1,0),"")</f>
        <v/>
      </c>
      <c r="AG195">
        <f>IF(ISNUMBER(O195),IF(O195&lt;=-300,1,0),"")</f>
        <v/>
      </c>
    </row>
    <row r="196">
      <c r="J196" s="2" t="n"/>
      <c r="K196" s="2">
        <f>IF(ISNUMBER(I196),1.9*I196,"")</f>
        <v/>
      </c>
      <c r="L196" s="2">
        <f>IF(AND(ISNUMBER(J196),ISNUMBER(K196)),J196-K196,"")</f>
        <v/>
      </c>
      <c r="M196" s="2">
        <f>IF(ISNUMBER(L196),IF(ISNUMBER(M195),M195,0)+L196,IF(ISNUMBER(M195),M195,""))</f>
        <v/>
      </c>
      <c r="N196" s="2">
        <f>IF(ISNUMBER(M196),MAX(M$2:M196),"")</f>
        <v/>
      </c>
      <c r="O196" s="2">
        <f>IF(ISNUMBER(M196),M196-N196,"")</f>
        <v/>
      </c>
      <c r="R196" s="3">
        <f>IF(COUNT(L$2:L196)&gt;0,COUNTIF(L$2:L196,"&gt;0")/COUNT(L$2:L196)*100,"")</f>
        <v/>
      </c>
      <c r="S196" s="3">
        <f>IF(SUMIF(L$2:L196,"&lt;0")&lt;0,SUMIF(L$2:L196,"&gt;0")/ABS(SUMIF(L$2:L196,"&lt;0")),"")</f>
        <v/>
      </c>
      <c r="T196" s="2">
        <f>IF(SUM(H$2:H196)&gt;0,SUM(L$2:L196)/SUM(H$2:H196),"")</f>
        <v/>
      </c>
      <c r="U196" s="2" t="n"/>
      <c r="V196" s="2" t="n"/>
      <c r="AE196">
        <f>IF(ISNUMBER(L196),IF(L196&lt;=-200,1,0),"")</f>
        <v/>
      </c>
      <c r="AG196">
        <f>IF(ISNUMBER(O196),IF(O196&lt;=-300,1,0),"")</f>
        <v/>
      </c>
    </row>
    <row r="197">
      <c r="J197" s="2" t="n"/>
      <c r="K197" s="2">
        <f>IF(ISNUMBER(I197),1.9*I197,"")</f>
        <v/>
      </c>
      <c r="L197" s="2">
        <f>IF(AND(ISNUMBER(J197),ISNUMBER(K197)),J197-K197,"")</f>
        <v/>
      </c>
      <c r="M197" s="2">
        <f>IF(ISNUMBER(L197),IF(ISNUMBER(M196),M196,0)+L197,IF(ISNUMBER(M196),M196,""))</f>
        <v/>
      </c>
      <c r="N197" s="2">
        <f>IF(ISNUMBER(M197),MAX(M$2:M197),"")</f>
        <v/>
      </c>
      <c r="O197" s="2">
        <f>IF(ISNUMBER(M197),M197-N197,"")</f>
        <v/>
      </c>
      <c r="R197" s="3">
        <f>IF(COUNT(L$2:L197)&gt;0,COUNTIF(L$2:L197,"&gt;0")/COUNT(L$2:L197)*100,"")</f>
        <v/>
      </c>
      <c r="S197" s="3">
        <f>IF(SUMIF(L$2:L197,"&lt;0")&lt;0,SUMIF(L$2:L197,"&gt;0")/ABS(SUMIF(L$2:L197,"&lt;0")),"")</f>
        <v/>
      </c>
      <c r="T197" s="2">
        <f>IF(SUM(H$2:H197)&gt;0,SUM(L$2:L197)/SUM(H$2:H197),"")</f>
        <v/>
      </c>
      <c r="U197" s="2" t="n"/>
      <c r="V197" s="2" t="n"/>
      <c r="AE197">
        <f>IF(ISNUMBER(L197),IF(L197&lt;=-200,1,0),"")</f>
        <v/>
      </c>
      <c r="AG197">
        <f>IF(ISNUMBER(O197),IF(O197&lt;=-300,1,0),"")</f>
        <v/>
      </c>
    </row>
    <row r="198">
      <c r="J198" s="2" t="n"/>
      <c r="K198" s="2">
        <f>IF(ISNUMBER(I198),1.9*I198,"")</f>
        <v/>
      </c>
      <c r="L198" s="2">
        <f>IF(AND(ISNUMBER(J198),ISNUMBER(K198)),J198-K198,"")</f>
        <v/>
      </c>
      <c r="M198" s="2">
        <f>IF(ISNUMBER(L198),IF(ISNUMBER(M197),M197,0)+L198,IF(ISNUMBER(M197),M197,""))</f>
        <v/>
      </c>
      <c r="N198" s="2">
        <f>IF(ISNUMBER(M198),MAX(M$2:M198),"")</f>
        <v/>
      </c>
      <c r="O198" s="2">
        <f>IF(ISNUMBER(M198),M198-N198,"")</f>
        <v/>
      </c>
      <c r="R198" s="3">
        <f>IF(COUNT(L$2:L198)&gt;0,COUNTIF(L$2:L198,"&gt;0")/COUNT(L$2:L198)*100,"")</f>
        <v/>
      </c>
      <c r="S198" s="3">
        <f>IF(SUMIF(L$2:L198,"&lt;0")&lt;0,SUMIF(L$2:L198,"&gt;0")/ABS(SUMIF(L$2:L198,"&lt;0")),"")</f>
        <v/>
      </c>
      <c r="T198" s="2">
        <f>IF(SUM(H$2:H198)&gt;0,SUM(L$2:L198)/SUM(H$2:H198),"")</f>
        <v/>
      </c>
      <c r="U198" s="2" t="n"/>
      <c r="V198" s="2" t="n"/>
      <c r="AE198">
        <f>IF(ISNUMBER(L198),IF(L198&lt;=-200,1,0),"")</f>
        <v/>
      </c>
      <c r="AG198">
        <f>IF(ISNUMBER(O198),IF(O198&lt;=-300,1,0),"")</f>
        <v/>
      </c>
    </row>
    <row r="199">
      <c r="J199" s="2" t="n"/>
      <c r="K199" s="2">
        <f>IF(ISNUMBER(I199),1.9*I199,"")</f>
        <v/>
      </c>
      <c r="L199" s="2">
        <f>IF(AND(ISNUMBER(J199),ISNUMBER(K199)),J199-K199,"")</f>
        <v/>
      </c>
      <c r="M199" s="2">
        <f>IF(ISNUMBER(L199),IF(ISNUMBER(M198),M198,0)+L199,IF(ISNUMBER(M198),M198,""))</f>
        <v/>
      </c>
      <c r="N199" s="2">
        <f>IF(ISNUMBER(M199),MAX(M$2:M199),"")</f>
        <v/>
      </c>
      <c r="O199" s="2">
        <f>IF(ISNUMBER(M199),M199-N199,"")</f>
        <v/>
      </c>
      <c r="R199" s="3">
        <f>IF(COUNT(L$2:L199)&gt;0,COUNTIF(L$2:L199,"&gt;0")/COUNT(L$2:L199)*100,"")</f>
        <v/>
      </c>
      <c r="S199" s="3">
        <f>IF(SUMIF(L$2:L199,"&lt;0")&lt;0,SUMIF(L$2:L199,"&gt;0")/ABS(SUMIF(L$2:L199,"&lt;0")),"")</f>
        <v/>
      </c>
      <c r="T199" s="2">
        <f>IF(SUM(H$2:H199)&gt;0,SUM(L$2:L199)/SUM(H$2:H199),"")</f>
        <v/>
      </c>
      <c r="U199" s="2" t="n"/>
      <c r="V199" s="2" t="n"/>
      <c r="AE199">
        <f>IF(ISNUMBER(L199),IF(L199&lt;=-200,1,0),"")</f>
        <v/>
      </c>
      <c r="AG199">
        <f>IF(ISNUMBER(O199),IF(O199&lt;=-300,1,0),"")</f>
        <v/>
      </c>
    </row>
    <row r="200">
      <c r="J200" s="2" t="n"/>
      <c r="K200" s="2">
        <f>IF(ISNUMBER(I200),1.9*I200,"")</f>
        <v/>
      </c>
      <c r="L200" s="2">
        <f>IF(AND(ISNUMBER(J200),ISNUMBER(K200)),J200-K200,"")</f>
        <v/>
      </c>
      <c r="M200" s="2">
        <f>IF(ISNUMBER(L200),IF(ISNUMBER(M199),M199,0)+L200,IF(ISNUMBER(M199),M199,""))</f>
        <v/>
      </c>
      <c r="N200" s="2">
        <f>IF(ISNUMBER(M200),MAX(M$2:M200),"")</f>
        <v/>
      </c>
      <c r="O200" s="2">
        <f>IF(ISNUMBER(M200),M200-N200,"")</f>
        <v/>
      </c>
      <c r="R200" s="3">
        <f>IF(COUNT(L$2:L200)&gt;0,COUNTIF(L$2:L200,"&gt;0")/COUNT(L$2:L200)*100,"")</f>
        <v/>
      </c>
      <c r="S200" s="3">
        <f>IF(SUMIF(L$2:L200,"&lt;0")&lt;0,SUMIF(L$2:L200,"&gt;0")/ABS(SUMIF(L$2:L200,"&lt;0")),"")</f>
        <v/>
      </c>
      <c r="T200" s="2">
        <f>IF(SUM(H$2:H200)&gt;0,SUM(L$2:L200)/SUM(H$2:H200),"")</f>
        <v/>
      </c>
      <c r="U200" s="2" t="n"/>
      <c r="V200" s="2" t="n"/>
      <c r="AE200">
        <f>IF(ISNUMBER(L200),IF(L200&lt;=-200,1,0),"")</f>
        <v/>
      </c>
      <c r="AG200">
        <f>IF(ISNUMBER(O200),IF(O200&lt;=-300,1,0),"")</f>
        <v/>
      </c>
    </row>
    <row r="201">
      <c r="J201" s="2" t="n"/>
      <c r="K201" s="2">
        <f>IF(ISNUMBER(I201),1.9*I201,"")</f>
        <v/>
      </c>
      <c r="L201" s="2">
        <f>IF(AND(ISNUMBER(J201),ISNUMBER(K201)),J201-K201,"")</f>
        <v/>
      </c>
      <c r="M201" s="2">
        <f>IF(ISNUMBER(L201),IF(ISNUMBER(M200),M200,0)+L201,IF(ISNUMBER(M200),M200,""))</f>
        <v/>
      </c>
      <c r="N201" s="2">
        <f>IF(ISNUMBER(M201),MAX(M$2:M201),"")</f>
        <v/>
      </c>
      <c r="O201" s="2">
        <f>IF(ISNUMBER(M201),M201-N201,"")</f>
        <v/>
      </c>
      <c r="R201" s="3">
        <f>IF(COUNT(L$2:L201)&gt;0,COUNTIF(L$2:L201,"&gt;0")/COUNT(L$2:L201)*100,"")</f>
        <v/>
      </c>
      <c r="S201" s="3">
        <f>IF(SUMIF(L$2:L201,"&lt;0")&lt;0,SUMIF(L$2:L201,"&gt;0")/ABS(SUMIF(L$2:L201,"&lt;0")),"")</f>
        <v/>
      </c>
      <c r="T201" s="2">
        <f>IF(SUM(H$2:H201)&gt;0,SUM(L$2:L201)/SUM(H$2:H201),"")</f>
        <v/>
      </c>
      <c r="U201" s="2" t="n"/>
      <c r="V201" s="2" t="n"/>
      <c r="AE201">
        <f>IF(ISNUMBER(L201),IF(L201&lt;=-200,1,0),"")</f>
        <v/>
      </c>
      <c r="AG201">
        <f>IF(ISNUMBER(O201),IF(O201&lt;=-300,1,0),"")</f>
        <v/>
      </c>
    </row>
    <row r="202">
      <c r="J202" s="2" t="n"/>
      <c r="K202" s="2">
        <f>IF(ISNUMBER(I202),1.9*I202,"")</f>
        <v/>
      </c>
      <c r="L202" s="2">
        <f>IF(AND(ISNUMBER(J202),ISNUMBER(K202)),J202-K202,"")</f>
        <v/>
      </c>
      <c r="M202" s="2">
        <f>IF(ISNUMBER(L202),IF(ISNUMBER(M201),M201,0)+L202,IF(ISNUMBER(M201),M201,""))</f>
        <v/>
      </c>
      <c r="N202" s="2">
        <f>IF(ISNUMBER(M202),MAX(M$2:M202),"")</f>
        <v/>
      </c>
      <c r="O202" s="2">
        <f>IF(ISNUMBER(M202),M202-N202,"")</f>
        <v/>
      </c>
      <c r="R202" s="3">
        <f>IF(COUNT(L$2:L202)&gt;0,COUNTIF(L$2:L202,"&gt;0")/COUNT(L$2:L202)*100,"")</f>
        <v/>
      </c>
      <c r="S202" s="3">
        <f>IF(SUMIF(L$2:L202,"&lt;0")&lt;0,SUMIF(L$2:L202,"&gt;0")/ABS(SUMIF(L$2:L202,"&lt;0")),"")</f>
        <v/>
      </c>
      <c r="T202" s="2">
        <f>IF(SUM(H$2:H202)&gt;0,SUM(L$2:L202)/SUM(H$2:H202),"")</f>
        <v/>
      </c>
      <c r="U202" s="2" t="n"/>
      <c r="V202" s="2" t="n"/>
      <c r="AE202">
        <f>IF(ISNUMBER(L202),IF(L202&lt;=-200,1,0),"")</f>
        <v/>
      </c>
      <c r="AG202">
        <f>IF(ISNUMBER(O202),IF(O202&lt;=-300,1,0),"")</f>
        <v/>
      </c>
    </row>
    <row r="203">
      <c r="J203" s="2" t="n"/>
      <c r="K203" s="2">
        <f>IF(ISNUMBER(I203),1.9*I203,"")</f>
        <v/>
      </c>
      <c r="L203" s="2">
        <f>IF(AND(ISNUMBER(J203),ISNUMBER(K203)),J203-K203,"")</f>
        <v/>
      </c>
      <c r="M203" s="2">
        <f>IF(ISNUMBER(L203),IF(ISNUMBER(M202),M202,0)+L203,IF(ISNUMBER(M202),M202,""))</f>
        <v/>
      </c>
      <c r="N203" s="2">
        <f>IF(ISNUMBER(M203),MAX(M$2:M203),"")</f>
        <v/>
      </c>
      <c r="O203" s="2">
        <f>IF(ISNUMBER(M203),M203-N203,"")</f>
        <v/>
      </c>
      <c r="R203" s="3">
        <f>IF(COUNT(L$2:L203)&gt;0,COUNTIF(L$2:L203,"&gt;0")/COUNT(L$2:L203)*100,"")</f>
        <v/>
      </c>
      <c r="S203" s="3">
        <f>IF(SUMIF(L$2:L203,"&lt;0")&lt;0,SUMIF(L$2:L203,"&gt;0")/ABS(SUMIF(L$2:L203,"&lt;0")),"")</f>
        <v/>
      </c>
      <c r="T203" s="2">
        <f>IF(SUM(H$2:H203)&gt;0,SUM(L$2:L203)/SUM(H$2:H203),"")</f>
        <v/>
      </c>
      <c r="U203" s="2" t="n"/>
      <c r="V203" s="2" t="n"/>
      <c r="AE203">
        <f>IF(ISNUMBER(L203),IF(L203&lt;=-200,1,0),"")</f>
        <v/>
      </c>
      <c r="AG203">
        <f>IF(ISNUMBER(O203),IF(O203&lt;=-300,1,0),"")</f>
        <v/>
      </c>
    </row>
    <row r="204">
      <c r="J204" s="2" t="n"/>
      <c r="K204" s="2">
        <f>IF(ISNUMBER(I204),1.9*I204,"")</f>
        <v/>
      </c>
      <c r="L204" s="2">
        <f>IF(AND(ISNUMBER(J204),ISNUMBER(K204)),J204-K204,"")</f>
        <v/>
      </c>
      <c r="M204" s="2">
        <f>IF(ISNUMBER(L204),IF(ISNUMBER(M203),M203,0)+L204,IF(ISNUMBER(M203),M203,""))</f>
        <v/>
      </c>
      <c r="N204" s="2">
        <f>IF(ISNUMBER(M204),MAX(M$2:M204),"")</f>
        <v/>
      </c>
      <c r="O204" s="2">
        <f>IF(ISNUMBER(M204),M204-N204,"")</f>
        <v/>
      </c>
      <c r="R204" s="3">
        <f>IF(COUNT(L$2:L204)&gt;0,COUNTIF(L$2:L204,"&gt;0")/COUNT(L$2:L204)*100,"")</f>
        <v/>
      </c>
      <c r="S204" s="3">
        <f>IF(SUMIF(L$2:L204,"&lt;0")&lt;0,SUMIF(L$2:L204,"&gt;0")/ABS(SUMIF(L$2:L204,"&lt;0")),"")</f>
        <v/>
      </c>
      <c r="T204" s="2">
        <f>IF(SUM(H$2:H204)&gt;0,SUM(L$2:L204)/SUM(H$2:H204),"")</f>
        <v/>
      </c>
      <c r="U204" s="2" t="n"/>
      <c r="V204" s="2" t="n"/>
      <c r="AE204">
        <f>IF(ISNUMBER(L204),IF(L204&lt;=-200,1,0),"")</f>
        <v/>
      </c>
      <c r="AG204">
        <f>IF(ISNUMBER(O204),IF(O204&lt;=-300,1,0),"")</f>
        <v/>
      </c>
    </row>
    <row r="205">
      <c r="J205" s="2" t="n"/>
      <c r="K205" s="2">
        <f>IF(ISNUMBER(I205),1.9*I205,"")</f>
        <v/>
      </c>
      <c r="L205" s="2">
        <f>IF(AND(ISNUMBER(J205),ISNUMBER(K205)),J205-K205,"")</f>
        <v/>
      </c>
      <c r="M205" s="2">
        <f>IF(ISNUMBER(L205),IF(ISNUMBER(M204),M204,0)+L205,IF(ISNUMBER(M204),M204,""))</f>
        <v/>
      </c>
      <c r="N205" s="2">
        <f>IF(ISNUMBER(M205),MAX(M$2:M205),"")</f>
        <v/>
      </c>
      <c r="O205" s="2">
        <f>IF(ISNUMBER(M205),M205-N205,"")</f>
        <v/>
      </c>
      <c r="R205" s="3">
        <f>IF(COUNT(L$2:L205)&gt;0,COUNTIF(L$2:L205,"&gt;0")/COUNT(L$2:L205)*100,"")</f>
        <v/>
      </c>
      <c r="S205" s="3">
        <f>IF(SUMIF(L$2:L205,"&lt;0")&lt;0,SUMIF(L$2:L205,"&gt;0")/ABS(SUMIF(L$2:L205,"&lt;0")),"")</f>
        <v/>
      </c>
      <c r="T205" s="2">
        <f>IF(SUM(H$2:H205)&gt;0,SUM(L$2:L205)/SUM(H$2:H205),"")</f>
        <v/>
      </c>
      <c r="U205" s="2" t="n"/>
      <c r="V205" s="2" t="n"/>
      <c r="AE205">
        <f>IF(ISNUMBER(L205),IF(L205&lt;=-200,1,0),"")</f>
        <v/>
      </c>
      <c r="AG205">
        <f>IF(ISNUMBER(O205),IF(O205&lt;=-300,1,0),"")</f>
        <v/>
      </c>
    </row>
    <row r="206">
      <c r="J206" s="2" t="n"/>
      <c r="K206" s="2">
        <f>IF(ISNUMBER(I206),1.9*I206,"")</f>
        <v/>
      </c>
      <c r="L206" s="2">
        <f>IF(AND(ISNUMBER(J206),ISNUMBER(K206)),J206-K206,"")</f>
        <v/>
      </c>
      <c r="M206" s="2">
        <f>IF(ISNUMBER(L206),IF(ISNUMBER(M205),M205,0)+L206,IF(ISNUMBER(M205),M205,""))</f>
        <v/>
      </c>
      <c r="N206" s="2">
        <f>IF(ISNUMBER(M206),MAX(M$2:M206),"")</f>
        <v/>
      </c>
      <c r="O206" s="2">
        <f>IF(ISNUMBER(M206),M206-N206,"")</f>
        <v/>
      </c>
      <c r="R206" s="3">
        <f>IF(COUNT(L$2:L206)&gt;0,COUNTIF(L$2:L206,"&gt;0")/COUNT(L$2:L206)*100,"")</f>
        <v/>
      </c>
      <c r="S206" s="3">
        <f>IF(SUMIF(L$2:L206,"&lt;0")&lt;0,SUMIF(L$2:L206,"&gt;0")/ABS(SUMIF(L$2:L206,"&lt;0")),"")</f>
        <v/>
      </c>
      <c r="T206" s="2">
        <f>IF(SUM(H$2:H206)&gt;0,SUM(L$2:L206)/SUM(H$2:H206),"")</f>
        <v/>
      </c>
      <c r="U206" s="2" t="n"/>
      <c r="V206" s="2" t="n"/>
      <c r="AE206">
        <f>IF(ISNUMBER(L206),IF(L206&lt;=-200,1,0),"")</f>
        <v/>
      </c>
      <c r="AG206">
        <f>IF(ISNUMBER(O206),IF(O206&lt;=-300,1,0),"")</f>
        <v/>
      </c>
    </row>
    <row r="207">
      <c r="J207" s="2" t="n"/>
      <c r="K207" s="2">
        <f>IF(ISNUMBER(I207),1.9*I207,"")</f>
        <v/>
      </c>
      <c r="L207" s="2">
        <f>IF(AND(ISNUMBER(J207),ISNUMBER(K207)),J207-K207,"")</f>
        <v/>
      </c>
      <c r="M207" s="2">
        <f>IF(ISNUMBER(L207),IF(ISNUMBER(M206),M206,0)+L207,IF(ISNUMBER(M206),M206,""))</f>
        <v/>
      </c>
      <c r="N207" s="2">
        <f>IF(ISNUMBER(M207),MAX(M$2:M207),"")</f>
        <v/>
      </c>
      <c r="O207" s="2">
        <f>IF(ISNUMBER(M207),M207-N207,"")</f>
        <v/>
      </c>
      <c r="R207" s="3">
        <f>IF(COUNT(L$2:L207)&gt;0,COUNTIF(L$2:L207,"&gt;0")/COUNT(L$2:L207)*100,"")</f>
        <v/>
      </c>
      <c r="S207" s="3">
        <f>IF(SUMIF(L$2:L207,"&lt;0")&lt;0,SUMIF(L$2:L207,"&gt;0")/ABS(SUMIF(L$2:L207,"&lt;0")),"")</f>
        <v/>
      </c>
      <c r="T207" s="2">
        <f>IF(SUM(H$2:H207)&gt;0,SUM(L$2:L207)/SUM(H$2:H207),"")</f>
        <v/>
      </c>
      <c r="U207" s="2" t="n"/>
      <c r="V207" s="2" t="n"/>
      <c r="AE207">
        <f>IF(ISNUMBER(L207),IF(L207&lt;=-200,1,0),"")</f>
        <v/>
      </c>
      <c r="AG207">
        <f>IF(ISNUMBER(O207),IF(O207&lt;=-300,1,0),"")</f>
        <v/>
      </c>
    </row>
    <row r="208">
      <c r="J208" s="2" t="n"/>
      <c r="K208" s="2">
        <f>IF(ISNUMBER(I208),1.9*I208,"")</f>
        <v/>
      </c>
      <c r="L208" s="2">
        <f>IF(AND(ISNUMBER(J208),ISNUMBER(K208)),J208-K208,"")</f>
        <v/>
      </c>
      <c r="M208" s="2">
        <f>IF(ISNUMBER(L208),IF(ISNUMBER(M207),M207,0)+L208,IF(ISNUMBER(M207),M207,""))</f>
        <v/>
      </c>
      <c r="N208" s="2">
        <f>IF(ISNUMBER(M208),MAX(M$2:M208),"")</f>
        <v/>
      </c>
      <c r="O208" s="2">
        <f>IF(ISNUMBER(M208),M208-N208,"")</f>
        <v/>
      </c>
      <c r="R208" s="3">
        <f>IF(COUNT(L$2:L208)&gt;0,COUNTIF(L$2:L208,"&gt;0")/COUNT(L$2:L208)*100,"")</f>
        <v/>
      </c>
      <c r="S208" s="3">
        <f>IF(SUMIF(L$2:L208,"&lt;0")&lt;0,SUMIF(L$2:L208,"&gt;0")/ABS(SUMIF(L$2:L208,"&lt;0")),"")</f>
        <v/>
      </c>
      <c r="T208" s="2">
        <f>IF(SUM(H$2:H208)&gt;0,SUM(L$2:L208)/SUM(H$2:H208),"")</f>
        <v/>
      </c>
      <c r="U208" s="2" t="n"/>
      <c r="V208" s="2" t="n"/>
      <c r="AE208">
        <f>IF(ISNUMBER(L208),IF(L208&lt;=-200,1,0),"")</f>
        <v/>
      </c>
      <c r="AG208">
        <f>IF(ISNUMBER(O208),IF(O208&lt;=-300,1,0),"")</f>
        <v/>
      </c>
    </row>
    <row r="209">
      <c r="J209" s="2" t="n"/>
      <c r="K209" s="2">
        <f>IF(ISNUMBER(I209),1.9*I209,"")</f>
        <v/>
      </c>
      <c r="L209" s="2">
        <f>IF(AND(ISNUMBER(J209),ISNUMBER(K209)),J209-K209,"")</f>
        <v/>
      </c>
      <c r="M209" s="2">
        <f>IF(ISNUMBER(L209),IF(ISNUMBER(M208),M208,0)+L209,IF(ISNUMBER(M208),M208,""))</f>
        <v/>
      </c>
      <c r="N209" s="2">
        <f>IF(ISNUMBER(M209),MAX(M$2:M209),"")</f>
        <v/>
      </c>
      <c r="O209" s="2">
        <f>IF(ISNUMBER(M209),M209-N209,"")</f>
        <v/>
      </c>
      <c r="R209" s="3">
        <f>IF(COUNT(L$2:L209)&gt;0,COUNTIF(L$2:L209,"&gt;0")/COUNT(L$2:L209)*100,"")</f>
        <v/>
      </c>
      <c r="S209" s="3">
        <f>IF(SUMIF(L$2:L209,"&lt;0")&lt;0,SUMIF(L$2:L209,"&gt;0")/ABS(SUMIF(L$2:L209,"&lt;0")),"")</f>
        <v/>
      </c>
      <c r="T209" s="2">
        <f>IF(SUM(H$2:H209)&gt;0,SUM(L$2:L209)/SUM(H$2:H209),"")</f>
        <v/>
      </c>
      <c r="U209" s="2" t="n"/>
      <c r="V209" s="2" t="n"/>
      <c r="AE209">
        <f>IF(ISNUMBER(L209),IF(L209&lt;=-200,1,0),"")</f>
        <v/>
      </c>
      <c r="AG209">
        <f>IF(ISNUMBER(O209),IF(O209&lt;=-300,1,0),"")</f>
        <v/>
      </c>
    </row>
    <row r="210">
      <c r="J210" s="2" t="n"/>
      <c r="K210" s="2">
        <f>IF(ISNUMBER(I210),1.9*I210,"")</f>
        <v/>
      </c>
      <c r="L210" s="2">
        <f>IF(AND(ISNUMBER(J210),ISNUMBER(K210)),J210-K210,"")</f>
        <v/>
      </c>
      <c r="M210" s="2">
        <f>IF(ISNUMBER(L210),IF(ISNUMBER(M209),M209,0)+L210,IF(ISNUMBER(M209),M209,""))</f>
        <v/>
      </c>
      <c r="N210" s="2">
        <f>IF(ISNUMBER(M210),MAX(M$2:M210),"")</f>
        <v/>
      </c>
      <c r="O210" s="2">
        <f>IF(ISNUMBER(M210),M210-N210,"")</f>
        <v/>
      </c>
      <c r="R210" s="3">
        <f>IF(COUNT(L$2:L210)&gt;0,COUNTIF(L$2:L210,"&gt;0")/COUNT(L$2:L210)*100,"")</f>
        <v/>
      </c>
      <c r="S210" s="3">
        <f>IF(SUMIF(L$2:L210,"&lt;0")&lt;0,SUMIF(L$2:L210,"&gt;0")/ABS(SUMIF(L$2:L210,"&lt;0")),"")</f>
        <v/>
      </c>
      <c r="T210" s="2">
        <f>IF(SUM(H$2:H210)&gt;0,SUM(L$2:L210)/SUM(H$2:H210),"")</f>
        <v/>
      </c>
      <c r="U210" s="2" t="n"/>
      <c r="V210" s="2" t="n"/>
      <c r="AE210">
        <f>IF(ISNUMBER(L210),IF(L210&lt;=-200,1,0),"")</f>
        <v/>
      </c>
      <c r="AG210">
        <f>IF(ISNUMBER(O210),IF(O210&lt;=-300,1,0),"")</f>
        <v/>
      </c>
    </row>
    <row r="211">
      <c r="J211" s="2" t="n"/>
      <c r="K211" s="2">
        <f>IF(ISNUMBER(I211),1.9*I211,"")</f>
        <v/>
      </c>
      <c r="L211" s="2">
        <f>IF(AND(ISNUMBER(J211),ISNUMBER(K211)),J211-K211,"")</f>
        <v/>
      </c>
      <c r="M211" s="2">
        <f>IF(ISNUMBER(L211),IF(ISNUMBER(M210),M210,0)+L211,IF(ISNUMBER(M210),M210,""))</f>
        <v/>
      </c>
      <c r="N211" s="2">
        <f>IF(ISNUMBER(M211),MAX(M$2:M211),"")</f>
        <v/>
      </c>
      <c r="O211" s="2">
        <f>IF(ISNUMBER(M211),M211-N211,"")</f>
        <v/>
      </c>
      <c r="R211" s="3">
        <f>IF(COUNT(L$2:L211)&gt;0,COUNTIF(L$2:L211,"&gt;0")/COUNT(L$2:L211)*100,"")</f>
        <v/>
      </c>
      <c r="S211" s="3">
        <f>IF(SUMIF(L$2:L211,"&lt;0")&lt;0,SUMIF(L$2:L211,"&gt;0")/ABS(SUMIF(L$2:L211,"&lt;0")),"")</f>
        <v/>
      </c>
      <c r="T211" s="2">
        <f>IF(SUM(H$2:H211)&gt;0,SUM(L$2:L211)/SUM(H$2:H211),"")</f>
        <v/>
      </c>
      <c r="U211" s="2" t="n"/>
      <c r="V211" s="2" t="n"/>
      <c r="AE211">
        <f>IF(ISNUMBER(L211),IF(L211&lt;=-200,1,0),"")</f>
        <v/>
      </c>
      <c r="AG211">
        <f>IF(ISNUMBER(O211),IF(O211&lt;=-300,1,0),"")</f>
        <v/>
      </c>
    </row>
    <row r="212">
      <c r="J212" s="2" t="n"/>
      <c r="K212" s="2">
        <f>IF(ISNUMBER(I212),1.9*I212,"")</f>
        <v/>
      </c>
      <c r="L212" s="2">
        <f>IF(AND(ISNUMBER(J212),ISNUMBER(K212)),J212-K212,"")</f>
        <v/>
      </c>
      <c r="M212" s="2">
        <f>IF(ISNUMBER(L212),IF(ISNUMBER(M211),M211,0)+L212,IF(ISNUMBER(M211),M211,""))</f>
        <v/>
      </c>
      <c r="N212" s="2">
        <f>IF(ISNUMBER(M212),MAX(M$2:M212),"")</f>
        <v/>
      </c>
      <c r="O212" s="2">
        <f>IF(ISNUMBER(M212),M212-N212,"")</f>
        <v/>
      </c>
      <c r="R212" s="3">
        <f>IF(COUNT(L$2:L212)&gt;0,COUNTIF(L$2:L212,"&gt;0")/COUNT(L$2:L212)*100,"")</f>
        <v/>
      </c>
      <c r="S212" s="3">
        <f>IF(SUMIF(L$2:L212,"&lt;0")&lt;0,SUMIF(L$2:L212,"&gt;0")/ABS(SUMIF(L$2:L212,"&lt;0")),"")</f>
        <v/>
      </c>
      <c r="T212" s="2">
        <f>IF(SUM(H$2:H212)&gt;0,SUM(L$2:L212)/SUM(H$2:H212),"")</f>
        <v/>
      </c>
      <c r="U212" s="2" t="n"/>
      <c r="V212" s="2" t="n"/>
      <c r="AE212">
        <f>IF(ISNUMBER(L212),IF(L212&lt;=-200,1,0),"")</f>
        <v/>
      </c>
      <c r="AG212">
        <f>IF(ISNUMBER(O212),IF(O212&lt;=-300,1,0),"")</f>
        <v/>
      </c>
    </row>
    <row r="213">
      <c r="J213" s="2" t="n"/>
      <c r="K213" s="2">
        <f>IF(ISNUMBER(I213),1.9*I213,"")</f>
        <v/>
      </c>
      <c r="L213" s="2">
        <f>IF(AND(ISNUMBER(J213),ISNUMBER(K213)),J213-K213,"")</f>
        <v/>
      </c>
      <c r="M213" s="2">
        <f>IF(ISNUMBER(L213),IF(ISNUMBER(M212),M212,0)+L213,IF(ISNUMBER(M212),M212,""))</f>
        <v/>
      </c>
      <c r="N213" s="2">
        <f>IF(ISNUMBER(M213),MAX(M$2:M213),"")</f>
        <v/>
      </c>
      <c r="O213" s="2">
        <f>IF(ISNUMBER(M213),M213-N213,"")</f>
        <v/>
      </c>
      <c r="R213" s="3">
        <f>IF(COUNT(L$2:L213)&gt;0,COUNTIF(L$2:L213,"&gt;0")/COUNT(L$2:L213)*100,"")</f>
        <v/>
      </c>
      <c r="S213" s="3">
        <f>IF(SUMIF(L$2:L213,"&lt;0")&lt;0,SUMIF(L$2:L213,"&gt;0")/ABS(SUMIF(L$2:L213,"&lt;0")),"")</f>
        <v/>
      </c>
      <c r="T213" s="2">
        <f>IF(SUM(H$2:H213)&gt;0,SUM(L$2:L213)/SUM(H$2:H213),"")</f>
        <v/>
      </c>
      <c r="U213" s="2" t="n"/>
      <c r="V213" s="2" t="n"/>
      <c r="AE213">
        <f>IF(ISNUMBER(L213),IF(L213&lt;=-200,1,0),"")</f>
        <v/>
      </c>
      <c r="AG213">
        <f>IF(ISNUMBER(O213),IF(O213&lt;=-300,1,0),"")</f>
        <v/>
      </c>
    </row>
    <row r="214">
      <c r="J214" s="2" t="n"/>
      <c r="K214" s="2">
        <f>IF(ISNUMBER(I214),1.9*I214,"")</f>
        <v/>
      </c>
      <c r="L214" s="2">
        <f>IF(AND(ISNUMBER(J214),ISNUMBER(K214)),J214-K214,"")</f>
        <v/>
      </c>
      <c r="M214" s="2">
        <f>IF(ISNUMBER(L214),IF(ISNUMBER(M213),M213,0)+L214,IF(ISNUMBER(M213),M213,""))</f>
        <v/>
      </c>
      <c r="N214" s="2">
        <f>IF(ISNUMBER(M214),MAX(M$2:M214),"")</f>
        <v/>
      </c>
      <c r="O214" s="2">
        <f>IF(ISNUMBER(M214),M214-N214,"")</f>
        <v/>
      </c>
      <c r="R214" s="3">
        <f>IF(COUNT(L$2:L214)&gt;0,COUNTIF(L$2:L214,"&gt;0")/COUNT(L$2:L214)*100,"")</f>
        <v/>
      </c>
      <c r="S214" s="3">
        <f>IF(SUMIF(L$2:L214,"&lt;0")&lt;0,SUMIF(L$2:L214,"&gt;0")/ABS(SUMIF(L$2:L214,"&lt;0")),"")</f>
        <v/>
      </c>
      <c r="T214" s="2">
        <f>IF(SUM(H$2:H214)&gt;0,SUM(L$2:L214)/SUM(H$2:H214),"")</f>
        <v/>
      </c>
      <c r="U214" s="2" t="n"/>
      <c r="V214" s="2" t="n"/>
      <c r="AE214">
        <f>IF(ISNUMBER(L214),IF(L214&lt;=-200,1,0),"")</f>
        <v/>
      </c>
      <c r="AG214">
        <f>IF(ISNUMBER(O214),IF(O214&lt;=-300,1,0),"")</f>
        <v/>
      </c>
    </row>
    <row r="215">
      <c r="J215" s="2" t="n"/>
      <c r="K215" s="2">
        <f>IF(ISNUMBER(I215),1.9*I215,"")</f>
        <v/>
      </c>
      <c r="L215" s="2">
        <f>IF(AND(ISNUMBER(J215),ISNUMBER(K215)),J215-K215,"")</f>
        <v/>
      </c>
      <c r="M215" s="2">
        <f>IF(ISNUMBER(L215),IF(ISNUMBER(M214),M214,0)+L215,IF(ISNUMBER(M214),M214,""))</f>
        <v/>
      </c>
      <c r="N215" s="2">
        <f>IF(ISNUMBER(M215),MAX(M$2:M215),"")</f>
        <v/>
      </c>
      <c r="O215" s="2">
        <f>IF(ISNUMBER(M215),M215-N215,"")</f>
        <v/>
      </c>
      <c r="R215" s="3">
        <f>IF(COUNT(L$2:L215)&gt;0,COUNTIF(L$2:L215,"&gt;0")/COUNT(L$2:L215)*100,"")</f>
        <v/>
      </c>
      <c r="S215" s="3">
        <f>IF(SUMIF(L$2:L215,"&lt;0")&lt;0,SUMIF(L$2:L215,"&gt;0")/ABS(SUMIF(L$2:L215,"&lt;0")),"")</f>
        <v/>
      </c>
      <c r="T215" s="2">
        <f>IF(SUM(H$2:H215)&gt;0,SUM(L$2:L215)/SUM(H$2:H215),"")</f>
        <v/>
      </c>
      <c r="U215" s="2" t="n"/>
      <c r="V215" s="2" t="n"/>
      <c r="AE215">
        <f>IF(ISNUMBER(L215),IF(L215&lt;=-200,1,0),"")</f>
        <v/>
      </c>
      <c r="AG215">
        <f>IF(ISNUMBER(O215),IF(O215&lt;=-300,1,0),"")</f>
        <v/>
      </c>
    </row>
    <row r="216">
      <c r="J216" s="2" t="n"/>
      <c r="K216" s="2">
        <f>IF(ISNUMBER(I216),1.9*I216,"")</f>
        <v/>
      </c>
      <c r="L216" s="2">
        <f>IF(AND(ISNUMBER(J216),ISNUMBER(K216)),J216-K216,"")</f>
        <v/>
      </c>
      <c r="M216" s="2">
        <f>IF(ISNUMBER(L216),IF(ISNUMBER(M215),M215,0)+L216,IF(ISNUMBER(M215),M215,""))</f>
        <v/>
      </c>
      <c r="N216" s="2">
        <f>IF(ISNUMBER(M216),MAX(M$2:M216),"")</f>
        <v/>
      </c>
      <c r="O216" s="2">
        <f>IF(ISNUMBER(M216),M216-N216,"")</f>
        <v/>
      </c>
      <c r="R216" s="3">
        <f>IF(COUNT(L$2:L216)&gt;0,COUNTIF(L$2:L216,"&gt;0")/COUNT(L$2:L216)*100,"")</f>
        <v/>
      </c>
      <c r="S216" s="3">
        <f>IF(SUMIF(L$2:L216,"&lt;0")&lt;0,SUMIF(L$2:L216,"&gt;0")/ABS(SUMIF(L$2:L216,"&lt;0")),"")</f>
        <v/>
      </c>
      <c r="T216" s="2">
        <f>IF(SUM(H$2:H216)&gt;0,SUM(L$2:L216)/SUM(H$2:H216),"")</f>
        <v/>
      </c>
      <c r="U216" s="2" t="n"/>
      <c r="V216" s="2" t="n"/>
      <c r="AE216">
        <f>IF(ISNUMBER(L216),IF(L216&lt;=-200,1,0),"")</f>
        <v/>
      </c>
      <c r="AG216">
        <f>IF(ISNUMBER(O216),IF(O216&lt;=-300,1,0),"")</f>
        <v/>
      </c>
    </row>
    <row r="217">
      <c r="J217" s="2" t="n"/>
      <c r="K217" s="2">
        <f>IF(ISNUMBER(I217),1.9*I217,"")</f>
        <v/>
      </c>
      <c r="L217" s="2">
        <f>IF(AND(ISNUMBER(J217),ISNUMBER(K217)),J217-K217,"")</f>
        <v/>
      </c>
      <c r="M217" s="2">
        <f>IF(ISNUMBER(L217),IF(ISNUMBER(M216),M216,0)+L217,IF(ISNUMBER(M216),M216,""))</f>
        <v/>
      </c>
      <c r="N217" s="2">
        <f>IF(ISNUMBER(M217),MAX(M$2:M217),"")</f>
        <v/>
      </c>
      <c r="O217" s="2">
        <f>IF(ISNUMBER(M217),M217-N217,"")</f>
        <v/>
      </c>
      <c r="R217" s="3">
        <f>IF(COUNT(L$2:L217)&gt;0,COUNTIF(L$2:L217,"&gt;0")/COUNT(L$2:L217)*100,"")</f>
        <v/>
      </c>
      <c r="S217" s="3">
        <f>IF(SUMIF(L$2:L217,"&lt;0")&lt;0,SUMIF(L$2:L217,"&gt;0")/ABS(SUMIF(L$2:L217,"&lt;0")),"")</f>
        <v/>
      </c>
      <c r="T217" s="2">
        <f>IF(SUM(H$2:H217)&gt;0,SUM(L$2:L217)/SUM(H$2:H217),"")</f>
        <v/>
      </c>
      <c r="U217" s="2" t="n"/>
      <c r="V217" s="2" t="n"/>
      <c r="AE217">
        <f>IF(ISNUMBER(L217),IF(L217&lt;=-200,1,0),"")</f>
        <v/>
      </c>
      <c r="AG217">
        <f>IF(ISNUMBER(O217),IF(O217&lt;=-300,1,0),"")</f>
        <v/>
      </c>
    </row>
    <row r="218">
      <c r="J218" s="2" t="n"/>
      <c r="K218" s="2">
        <f>IF(ISNUMBER(I218),1.9*I218,"")</f>
        <v/>
      </c>
      <c r="L218" s="2">
        <f>IF(AND(ISNUMBER(J218),ISNUMBER(K218)),J218-K218,"")</f>
        <v/>
      </c>
      <c r="M218" s="2">
        <f>IF(ISNUMBER(L218),IF(ISNUMBER(M217),M217,0)+L218,IF(ISNUMBER(M217),M217,""))</f>
        <v/>
      </c>
      <c r="N218" s="2">
        <f>IF(ISNUMBER(M218),MAX(M$2:M218),"")</f>
        <v/>
      </c>
      <c r="O218" s="2">
        <f>IF(ISNUMBER(M218),M218-N218,"")</f>
        <v/>
      </c>
      <c r="R218" s="3">
        <f>IF(COUNT(L$2:L218)&gt;0,COUNTIF(L$2:L218,"&gt;0")/COUNT(L$2:L218)*100,"")</f>
        <v/>
      </c>
      <c r="S218" s="3">
        <f>IF(SUMIF(L$2:L218,"&lt;0")&lt;0,SUMIF(L$2:L218,"&gt;0")/ABS(SUMIF(L$2:L218,"&lt;0")),"")</f>
        <v/>
      </c>
      <c r="T218" s="2">
        <f>IF(SUM(H$2:H218)&gt;0,SUM(L$2:L218)/SUM(H$2:H218),"")</f>
        <v/>
      </c>
      <c r="U218" s="2" t="n"/>
      <c r="V218" s="2" t="n"/>
      <c r="AE218">
        <f>IF(ISNUMBER(L218),IF(L218&lt;=-200,1,0),"")</f>
        <v/>
      </c>
      <c r="AG218">
        <f>IF(ISNUMBER(O218),IF(O218&lt;=-300,1,0),"")</f>
        <v/>
      </c>
    </row>
    <row r="219">
      <c r="J219" s="2" t="n"/>
      <c r="K219" s="2">
        <f>IF(ISNUMBER(I219),1.9*I219,"")</f>
        <v/>
      </c>
      <c r="L219" s="2">
        <f>IF(AND(ISNUMBER(J219),ISNUMBER(K219)),J219-K219,"")</f>
        <v/>
      </c>
      <c r="M219" s="2">
        <f>IF(ISNUMBER(L219),IF(ISNUMBER(M218),M218,0)+L219,IF(ISNUMBER(M218),M218,""))</f>
        <v/>
      </c>
      <c r="N219" s="2">
        <f>IF(ISNUMBER(M219),MAX(M$2:M219),"")</f>
        <v/>
      </c>
      <c r="O219" s="2">
        <f>IF(ISNUMBER(M219),M219-N219,"")</f>
        <v/>
      </c>
      <c r="R219" s="3">
        <f>IF(COUNT(L$2:L219)&gt;0,COUNTIF(L$2:L219,"&gt;0")/COUNT(L$2:L219)*100,"")</f>
        <v/>
      </c>
      <c r="S219" s="3">
        <f>IF(SUMIF(L$2:L219,"&lt;0")&lt;0,SUMIF(L$2:L219,"&gt;0")/ABS(SUMIF(L$2:L219,"&lt;0")),"")</f>
        <v/>
      </c>
      <c r="T219" s="2">
        <f>IF(SUM(H$2:H219)&gt;0,SUM(L$2:L219)/SUM(H$2:H219),"")</f>
        <v/>
      </c>
      <c r="U219" s="2" t="n"/>
      <c r="V219" s="2" t="n"/>
      <c r="AE219">
        <f>IF(ISNUMBER(L219),IF(L219&lt;=-200,1,0),"")</f>
        <v/>
      </c>
      <c r="AG219">
        <f>IF(ISNUMBER(O219),IF(O219&lt;=-300,1,0),"")</f>
        <v/>
      </c>
    </row>
    <row r="220">
      <c r="J220" s="2" t="n"/>
      <c r="K220" s="2">
        <f>IF(ISNUMBER(I220),1.9*I220,"")</f>
        <v/>
      </c>
      <c r="L220" s="2">
        <f>IF(AND(ISNUMBER(J220),ISNUMBER(K220)),J220-K220,"")</f>
        <v/>
      </c>
      <c r="M220" s="2">
        <f>IF(ISNUMBER(L220),IF(ISNUMBER(M219),M219,0)+L220,IF(ISNUMBER(M219),M219,""))</f>
        <v/>
      </c>
      <c r="N220" s="2">
        <f>IF(ISNUMBER(M220),MAX(M$2:M220),"")</f>
        <v/>
      </c>
      <c r="O220" s="2">
        <f>IF(ISNUMBER(M220),M220-N220,"")</f>
        <v/>
      </c>
      <c r="R220" s="3">
        <f>IF(COUNT(L$2:L220)&gt;0,COUNTIF(L$2:L220,"&gt;0")/COUNT(L$2:L220)*100,"")</f>
        <v/>
      </c>
      <c r="S220" s="3">
        <f>IF(SUMIF(L$2:L220,"&lt;0")&lt;0,SUMIF(L$2:L220,"&gt;0")/ABS(SUMIF(L$2:L220,"&lt;0")),"")</f>
        <v/>
      </c>
      <c r="T220" s="2">
        <f>IF(SUM(H$2:H220)&gt;0,SUM(L$2:L220)/SUM(H$2:H220),"")</f>
        <v/>
      </c>
      <c r="U220" s="2" t="n"/>
      <c r="V220" s="2" t="n"/>
      <c r="AE220">
        <f>IF(ISNUMBER(L220),IF(L220&lt;=-200,1,0),"")</f>
        <v/>
      </c>
      <c r="AG220">
        <f>IF(ISNUMBER(O220),IF(O220&lt;=-300,1,0),"")</f>
        <v/>
      </c>
    </row>
    <row r="221">
      <c r="J221" s="2" t="n"/>
      <c r="K221" s="2">
        <f>IF(ISNUMBER(I221),1.9*I221,"")</f>
        <v/>
      </c>
      <c r="L221" s="2">
        <f>IF(AND(ISNUMBER(J221),ISNUMBER(K221)),J221-K221,"")</f>
        <v/>
      </c>
      <c r="M221" s="2">
        <f>IF(ISNUMBER(L221),IF(ISNUMBER(M220),M220,0)+L221,IF(ISNUMBER(M220),M220,""))</f>
        <v/>
      </c>
      <c r="N221" s="2">
        <f>IF(ISNUMBER(M221),MAX(M$2:M221),"")</f>
        <v/>
      </c>
      <c r="O221" s="2">
        <f>IF(ISNUMBER(M221),M221-N221,"")</f>
        <v/>
      </c>
      <c r="R221" s="3">
        <f>IF(COUNT(L$2:L221)&gt;0,COUNTIF(L$2:L221,"&gt;0")/COUNT(L$2:L221)*100,"")</f>
        <v/>
      </c>
      <c r="S221" s="3">
        <f>IF(SUMIF(L$2:L221,"&lt;0")&lt;0,SUMIF(L$2:L221,"&gt;0")/ABS(SUMIF(L$2:L221,"&lt;0")),"")</f>
        <v/>
      </c>
      <c r="T221" s="2">
        <f>IF(SUM(H$2:H221)&gt;0,SUM(L$2:L221)/SUM(H$2:H221),"")</f>
        <v/>
      </c>
      <c r="U221" s="2" t="n"/>
      <c r="V221" s="2" t="n"/>
      <c r="AE221">
        <f>IF(ISNUMBER(L221),IF(L221&lt;=-200,1,0),"")</f>
        <v/>
      </c>
      <c r="AG221">
        <f>IF(ISNUMBER(O221),IF(O221&lt;=-300,1,0),"")</f>
        <v/>
      </c>
    </row>
    <row r="222">
      <c r="J222" s="2" t="n"/>
      <c r="K222" s="2">
        <f>IF(ISNUMBER(I222),1.9*I222,"")</f>
        <v/>
      </c>
      <c r="L222" s="2">
        <f>IF(AND(ISNUMBER(J222),ISNUMBER(K222)),J222-K222,"")</f>
        <v/>
      </c>
      <c r="M222" s="2">
        <f>IF(ISNUMBER(L222),IF(ISNUMBER(M221),M221,0)+L222,IF(ISNUMBER(M221),M221,""))</f>
        <v/>
      </c>
      <c r="N222" s="2">
        <f>IF(ISNUMBER(M222),MAX(M$2:M222),"")</f>
        <v/>
      </c>
      <c r="O222" s="2">
        <f>IF(ISNUMBER(M222),M222-N222,"")</f>
        <v/>
      </c>
      <c r="R222" s="3">
        <f>IF(COUNT(L$2:L222)&gt;0,COUNTIF(L$2:L222,"&gt;0")/COUNT(L$2:L222)*100,"")</f>
        <v/>
      </c>
      <c r="S222" s="3">
        <f>IF(SUMIF(L$2:L222,"&lt;0")&lt;0,SUMIF(L$2:L222,"&gt;0")/ABS(SUMIF(L$2:L222,"&lt;0")),"")</f>
        <v/>
      </c>
      <c r="T222" s="2">
        <f>IF(SUM(H$2:H222)&gt;0,SUM(L$2:L222)/SUM(H$2:H222),"")</f>
        <v/>
      </c>
      <c r="U222" s="2" t="n"/>
      <c r="V222" s="2" t="n"/>
      <c r="AE222">
        <f>IF(ISNUMBER(L222),IF(L222&lt;=-200,1,0),"")</f>
        <v/>
      </c>
      <c r="AG222">
        <f>IF(ISNUMBER(O222),IF(O222&lt;=-300,1,0),"")</f>
        <v/>
      </c>
    </row>
    <row r="223">
      <c r="J223" s="2" t="n"/>
      <c r="K223" s="2">
        <f>IF(ISNUMBER(I223),1.9*I223,"")</f>
        <v/>
      </c>
      <c r="L223" s="2">
        <f>IF(AND(ISNUMBER(J223),ISNUMBER(K223)),J223-K223,"")</f>
        <v/>
      </c>
      <c r="M223" s="2">
        <f>IF(ISNUMBER(L223),IF(ISNUMBER(M222),M222,0)+L223,IF(ISNUMBER(M222),M222,""))</f>
        <v/>
      </c>
      <c r="N223" s="2">
        <f>IF(ISNUMBER(M223),MAX(M$2:M223),"")</f>
        <v/>
      </c>
      <c r="O223" s="2">
        <f>IF(ISNUMBER(M223),M223-N223,"")</f>
        <v/>
      </c>
      <c r="R223" s="3">
        <f>IF(COUNT(L$2:L223)&gt;0,COUNTIF(L$2:L223,"&gt;0")/COUNT(L$2:L223)*100,"")</f>
        <v/>
      </c>
      <c r="S223" s="3">
        <f>IF(SUMIF(L$2:L223,"&lt;0")&lt;0,SUMIF(L$2:L223,"&gt;0")/ABS(SUMIF(L$2:L223,"&lt;0")),"")</f>
        <v/>
      </c>
      <c r="T223" s="2">
        <f>IF(SUM(H$2:H223)&gt;0,SUM(L$2:L223)/SUM(H$2:H223),"")</f>
        <v/>
      </c>
      <c r="U223" s="2" t="n"/>
      <c r="V223" s="2" t="n"/>
      <c r="AE223">
        <f>IF(ISNUMBER(L223),IF(L223&lt;=-200,1,0),"")</f>
        <v/>
      </c>
      <c r="AG223">
        <f>IF(ISNUMBER(O223),IF(O223&lt;=-300,1,0),"")</f>
        <v/>
      </c>
    </row>
    <row r="224">
      <c r="J224" s="2" t="n"/>
      <c r="K224" s="2">
        <f>IF(ISNUMBER(I224),1.9*I224,"")</f>
        <v/>
      </c>
      <c r="L224" s="2">
        <f>IF(AND(ISNUMBER(J224),ISNUMBER(K224)),J224-K224,"")</f>
        <v/>
      </c>
      <c r="M224" s="2">
        <f>IF(ISNUMBER(L224),IF(ISNUMBER(M223),M223,0)+L224,IF(ISNUMBER(M223),M223,""))</f>
        <v/>
      </c>
      <c r="N224" s="2">
        <f>IF(ISNUMBER(M224),MAX(M$2:M224),"")</f>
        <v/>
      </c>
      <c r="O224" s="2">
        <f>IF(ISNUMBER(M224),M224-N224,"")</f>
        <v/>
      </c>
      <c r="R224" s="3">
        <f>IF(COUNT(L$2:L224)&gt;0,COUNTIF(L$2:L224,"&gt;0")/COUNT(L$2:L224)*100,"")</f>
        <v/>
      </c>
      <c r="S224" s="3">
        <f>IF(SUMIF(L$2:L224,"&lt;0")&lt;0,SUMIF(L$2:L224,"&gt;0")/ABS(SUMIF(L$2:L224,"&lt;0")),"")</f>
        <v/>
      </c>
      <c r="T224" s="2">
        <f>IF(SUM(H$2:H224)&gt;0,SUM(L$2:L224)/SUM(H$2:H224),"")</f>
        <v/>
      </c>
      <c r="U224" s="2" t="n"/>
      <c r="V224" s="2" t="n"/>
      <c r="AE224">
        <f>IF(ISNUMBER(L224),IF(L224&lt;=-200,1,0),"")</f>
        <v/>
      </c>
      <c r="AG224">
        <f>IF(ISNUMBER(O224),IF(O224&lt;=-300,1,0),"")</f>
        <v/>
      </c>
    </row>
    <row r="225">
      <c r="J225" s="2" t="n"/>
      <c r="K225" s="2">
        <f>IF(ISNUMBER(I225),1.9*I225,"")</f>
        <v/>
      </c>
      <c r="L225" s="2">
        <f>IF(AND(ISNUMBER(J225),ISNUMBER(K225)),J225-K225,"")</f>
        <v/>
      </c>
      <c r="M225" s="2">
        <f>IF(ISNUMBER(L225),IF(ISNUMBER(M224),M224,0)+L225,IF(ISNUMBER(M224),M224,""))</f>
        <v/>
      </c>
      <c r="N225" s="2">
        <f>IF(ISNUMBER(M225),MAX(M$2:M225),"")</f>
        <v/>
      </c>
      <c r="O225" s="2">
        <f>IF(ISNUMBER(M225),M225-N225,"")</f>
        <v/>
      </c>
      <c r="R225" s="3">
        <f>IF(COUNT(L$2:L225)&gt;0,COUNTIF(L$2:L225,"&gt;0")/COUNT(L$2:L225)*100,"")</f>
        <v/>
      </c>
      <c r="S225" s="3">
        <f>IF(SUMIF(L$2:L225,"&lt;0")&lt;0,SUMIF(L$2:L225,"&gt;0")/ABS(SUMIF(L$2:L225,"&lt;0")),"")</f>
        <v/>
      </c>
      <c r="T225" s="2">
        <f>IF(SUM(H$2:H225)&gt;0,SUM(L$2:L225)/SUM(H$2:H225),"")</f>
        <v/>
      </c>
      <c r="U225" s="2" t="n"/>
      <c r="V225" s="2" t="n"/>
      <c r="AE225">
        <f>IF(ISNUMBER(L225),IF(L225&lt;=-200,1,0),"")</f>
        <v/>
      </c>
      <c r="AG225">
        <f>IF(ISNUMBER(O225),IF(O225&lt;=-300,1,0),"")</f>
        <v/>
      </c>
    </row>
    <row r="226">
      <c r="J226" s="2" t="n"/>
      <c r="K226" s="2">
        <f>IF(ISNUMBER(I226),1.9*I226,"")</f>
        <v/>
      </c>
      <c r="L226" s="2">
        <f>IF(AND(ISNUMBER(J226),ISNUMBER(K226)),J226-K226,"")</f>
        <v/>
      </c>
      <c r="M226" s="2">
        <f>IF(ISNUMBER(L226),IF(ISNUMBER(M225),M225,0)+L226,IF(ISNUMBER(M225),M225,""))</f>
        <v/>
      </c>
      <c r="N226" s="2">
        <f>IF(ISNUMBER(M226),MAX(M$2:M226),"")</f>
        <v/>
      </c>
      <c r="O226" s="2">
        <f>IF(ISNUMBER(M226),M226-N226,"")</f>
        <v/>
      </c>
      <c r="R226" s="3">
        <f>IF(COUNT(L$2:L226)&gt;0,COUNTIF(L$2:L226,"&gt;0")/COUNT(L$2:L226)*100,"")</f>
        <v/>
      </c>
      <c r="S226" s="3">
        <f>IF(SUMIF(L$2:L226,"&lt;0")&lt;0,SUMIF(L$2:L226,"&gt;0")/ABS(SUMIF(L$2:L226,"&lt;0")),"")</f>
        <v/>
      </c>
      <c r="T226" s="2">
        <f>IF(SUM(H$2:H226)&gt;0,SUM(L$2:L226)/SUM(H$2:H226),"")</f>
        <v/>
      </c>
      <c r="U226" s="2" t="n"/>
      <c r="V226" s="2" t="n"/>
      <c r="AE226">
        <f>IF(ISNUMBER(L226),IF(L226&lt;=-200,1,0),"")</f>
        <v/>
      </c>
      <c r="AG226">
        <f>IF(ISNUMBER(O226),IF(O226&lt;=-300,1,0),"")</f>
        <v/>
      </c>
    </row>
    <row r="227">
      <c r="J227" s="2" t="n"/>
      <c r="K227" s="2">
        <f>IF(ISNUMBER(I227),1.9*I227,"")</f>
        <v/>
      </c>
      <c r="L227" s="2">
        <f>IF(AND(ISNUMBER(J227),ISNUMBER(K227)),J227-K227,"")</f>
        <v/>
      </c>
      <c r="M227" s="2">
        <f>IF(ISNUMBER(L227),IF(ISNUMBER(M226),M226,0)+L227,IF(ISNUMBER(M226),M226,""))</f>
        <v/>
      </c>
      <c r="N227" s="2">
        <f>IF(ISNUMBER(M227),MAX(M$2:M227),"")</f>
        <v/>
      </c>
      <c r="O227" s="2">
        <f>IF(ISNUMBER(M227),M227-N227,"")</f>
        <v/>
      </c>
      <c r="R227" s="3">
        <f>IF(COUNT(L$2:L227)&gt;0,COUNTIF(L$2:L227,"&gt;0")/COUNT(L$2:L227)*100,"")</f>
        <v/>
      </c>
      <c r="S227" s="3">
        <f>IF(SUMIF(L$2:L227,"&lt;0")&lt;0,SUMIF(L$2:L227,"&gt;0")/ABS(SUMIF(L$2:L227,"&lt;0")),"")</f>
        <v/>
      </c>
      <c r="T227" s="2">
        <f>IF(SUM(H$2:H227)&gt;0,SUM(L$2:L227)/SUM(H$2:H227),"")</f>
        <v/>
      </c>
      <c r="U227" s="2" t="n"/>
      <c r="V227" s="2" t="n"/>
      <c r="AE227">
        <f>IF(ISNUMBER(L227),IF(L227&lt;=-200,1,0),"")</f>
        <v/>
      </c>
      <c r="AG227">
        <f>IF(ISNUMBER(O227),IF(O227&lt;=-300,1,0),"")</f>
        <v/>
      </c>
    </row>
    <row r="228">
      <c r="J228" s="2" t="n"/>
      <c r="K228" s="2">
        <f>IF(ISNUMBER(I228),1.9*I228,"")</f>
        <v/>
      </c>
      <c r="L228" s="2">
        <f>IF(AND(ISNUMBER(J228),ISNUMBER(K228)),J228-K228,"")</f>
        <v/>
      </c>
      <c r="M228" s="2">
        <f>IF(ISNUMBER(L228),IF(ISNUMBER(M227),M227,0)+L228,IF(ISNUMBER(M227),M227,""))</f>
        <v/>
      </c>
      <c r="N228" s="2">
        <f>IF(ISNUMBER(M228),MAX(M$2:M228),"")</f>
        <v/>
      </c>
      <c r="O228" s="2">
        <f>IF(ISNUMBER(M228),M228-N228,"")</f>
        <v/>
      </c>
      <c r="R228" s="3">
        <f>IF(COUNT(L$2:L228)&gt;0,COUNTIF(L$2:L228,"&gt;0")/COUNT(L$2:L228)*100,"")</f>
        <v/>
      </c>
      <c r="S228" s="3">
        <f>IF(SUMIF(L$2:L228,"&lt;0")&lt;0,SUMIF(L$2:L228,"&gt;0")/ABS(SUMIF(L$2:L228,"&lt;0")),"")</f>
        <v/>
      </c>
      <c r="T228" s="2">
        <f>IF(SUM(H$2:H228)&gt;0,SUM(L$2:L228)/SUM(H$2:H228),"")</f>
        <v/>
      </c>
      <c r="U228" s="2" t="n"/>
      <c r="V228" s="2" t="n"/>
      <c r="AE228">
        <f>IF(ISNUMBER(L228),IF(L228&lt;=-200,1,0),"")</f>
        <v/>
      </c>
      <c r="AG228">
        <f>IF(ISNUMBER(O228),IF(O228&lt;=-300,1,0),"")</f>
        <v/>
      </c>
    </row>
    <row r="229">
      <c r="J229" s="2" t="n"/>
      <c r="K229" s="2">
        <f>IF(ISNUMBER(I229),1.9*I229,"")</f>
        <v/>
      </c>
      <c r="L229" s="2">
        <f>IF(AND(ISNUMBER(J229),ISNUMBER(K229)),J229-K229,"")</f>
        <v/>
      </c>
      <c r="M229" s="2">
        <f>IF(ISNUMBER(L229),IF(ISNUMBER(M228),M228,0)+L229,IF(ISNUMBER(M228),M228,""))</f>
        <v/>
      </c>
      <c r="N229" s="2">
        <f>IF(ISNUMBER(M229),MAX(M$2:M229),"")</f>
        <v/>
      </c>
      <c r="O229" s="2">
        <f>IF(ISNUMBER(M229),M229-N229,"")</f>
        <v/>
      </c>
      <c r="R229" s="3">
        <f>IF(COUNT(L$2:L229)&gt;0,COUNTIF(L$2:L229,"&gt;0")/COUNT(L$2:L229)*100,"")</f>
        <v/>
      </c>
      <c r="S229" s="3">
        <f>IF(SUMIF(L$2:L229,"&lt;0")&lt;0,SUMIF(L$2:L229,"&gt;0")/ABS(SUMIF(L$2:L229,"&lt;0")),"")</f>
        <v/>
      </c>
      <c r="T229" s="2">
        <f>IF(SUM(H$2:H229)&gt;0,SUM(L$2:L229)/SUM(H$2:H229),"")</f>
        <v/>
      </c>
      <c r="U229" s="2" t="n"/>
      <c r="V229" s="2" t="n"/>
      <c r="AE229">
        <f>IF(ISNUMBER(L229),IF(L229&lt;=-200,1,0),"")</f>
        <v/>
      </c>
      <c r="AG229">
        <f>IF(ISNUMBER(O229),IF(O229&lt;=-300,1,0),"")</f>
        <v/>
      </c>
    </row>
    <row r="230">
      <c r="J230" s="2" t="n"/>
      <c r="K230" s="2">
        <f>IF(ISNUMBER(I230),1.9*I230,"")</f>
        <v/>
      </c>
      <c r="L230" s="2">
        <f>IF(AND(ISNUMBER(J230),ISNUMBER(K230)),J230-K230,"")</f>
        <v/>
      </c>
      <c r="M230" s="2">
        <f>IF(ISNUMBER(L230),IF(ISNUMBER(M229),M229,0)+L230,IF(ISNUMBER(M229),M229,""))</f>
        <v/>
      </c>
      <c r="N230" s="2">
        <f>IF(ISNUMBER(M230),MAX(M$2:M230),"")</f>
        <v/>
      </c>
      <c r="O230" s="2">
        <f>IF(ISNUMBER(M230),M230-N230,"")</f>
        <v/>
      </c>
      <c r="R230" s="3">
        <f>IF(COUNT(L$2:L230)&gt;0,COUNTIF(L$2:L230,"&gt;0")/COUNT(L$2:L230)*100,"")</f>
        <v/>
      </c>
      <c r="S230" s="3">
        <f>IF(SUMIF(L$2:L230,"&lt;0")&lt;0,SUMIF(L$2:L230,"&gt;0")/ABS(SUMIF(L$2:L230,"&lt;0")),"")</f>
        <v/>
      </c>
      <c r="T230" s="2">
        <f>IF(SUM(H$2:H230)&gt;0,SUM(L$2:L230)/SUM(H$2:H230),"")</f>
        <v/>
      </c>
      <c r="U230" s="2" t="n"/>
      <c r="V230" s="2" t="n"/>
      <c r="AE230">
        <f>IF(ISNUMBER(L230),IF(L230&lt;=-200,1,0),"")</f>
        <v/>
      </c>
      <c r="AG230">
        <f>IF(ISNUMBER(O230),IF(O230&lt;=-300,1,0),"")</f>
        <v/>
      </c>
    </row>
    <row r="231">
      <c r="J231" s="2" t="n"/>
      <c r="K231" s="2">
        <f>IF(ISNUMBER(I231),1.9*I231,"")</f>
        <v/>
      </c>
      <c r="L231" s="2">
        <f>IF(AND(ISNUMBER(J231),ISNUMBER(K231)),J231-K231,"")</f>
        <v/>
      </c>
      <c r="M231" s="2">
        <f>IF(ISNUMBER(L231),IF(ISNUMBER(M230),M230,0)+L231,IF(ISNUMBER(M230),M230,""))</f>
        <v/>
      </c>
      <c r="N231" s="2">
        <f>IF(ISNUMBER(M231),MAX(M$2:M231),"")</f>
        <v/>
      </c>
      <c r="O231" s="2">
        <f>IF(ISNUMBER(M231),M231-N231,"")</f>
        <v/>
      </c>
      <c r="R231" s="3">
        <f>IF(COUNT(L$2:L231)&gt;0,COUNTIF(L$2:L231,"&gt;0")/COUNT(L$2:L231)*100,"")</f>
        <v/>
      </c>
      <c r="S231" s="3">
        <f>IF(SUMIF(L$2:L231,"&lt;0")&lt;0,SUMIF(L$2:L231,"&gt;0")/ABS(SUMIF(L$2:L231,"&lt;0")),"")</f>
        <v/>
      </c>
      <c r="T231" s="2">
        <f>IF(SUM(H$2:H231)&gt;0,SUM(L$2:L231)/SUM(H$2:H231),"")</f>
        <v/>
      </c>
      <c r="U231" s="2" t="n"/>
      <c r="V231" s="2" t="n"/>
      <c r="AE231">
        <f>IF(ISNUMBER(L231),IF(L231&lt;=-200,1,0),"")</f>
        <v/>
      </c>
      <c r="AG231">
        <f>IF(ISNUMBER(O231),IF(O231&lt;=-300,1,0),"")</f>
        <v/>
      </c>
    </row>
    <row r="232">
      <c r="J232" s="2" t="n"/>
      <c r="K232" s="2">
        <f>IF(ISNUMBER(I232),1.9*I232,"")</f>
        <v/>
      </c>
      <c r="L232" s="2">
        <f>IF(AND(ISNUMBER(J232),ISNUMBER(K232)),J232-K232,"")</f>
        <v/>
      </c>
      <c r="M232" s="2">
        <f>IF(ISNUMBER(L232),IF(ISNUMBER(M231),M231,0)+L232,IF(ISNUMBER(M231),M231,""))</f>
        <v/>
      </c>
      <c r="N232" s="2">
        <f>IF(ISNUMBER(M232),MAX(M$2:M232),"")</f>
        <v/>
      </c>
      <c r="O232" s="2">
        <f>IF(ISNUMBER(M232),M232-N232,"")</f>
        <v/>
      </c>
      <c r="R232" s="3">
        <f>IF(COUNT(L$2:L232)&gt;0,COUNTIF(L$2:L232,"&gt;0")/COUNT(L$2:L232)*100,"")</f>
        <v/>
      </c>
      <c r="S232" s="3">
        <f>IF(SUMIF(L$2:L232,"&lt;0")&lt;0,SUMIF(L$2:L232,"&gt;0")/ABS(SUMIF(L$2:L232,"&lt;0")),"")</f>
        <v/>
      </c>
      <c r="T232" s="2">
        <f>IF(SUM(H$2:H232)&gt;0,SUM(L$2:L232)/SUM(H$2:H232),"")</f>
        <v/>
      </c>
      <c r="U232" s="2" t="n"/>
      <c r="V232" s="2" t="n"/>
      <c r="AE232">
        <f>IF(ISNUMBER(L232),IF(L232&lt;=-200,1,0),"")</f>
        <v/>
      </c>
      <c r="AG232">
        <f>IF(ISNUMBER(O232),IF(O232&lt;=-300,1,0),"")</f>
        <v/>
      </c>
    </row>
    <row r="233">
      <c r="J233" s="2" t="n"/>
      <c r="K233" s="2">
        <f>IF(ISNUMBER(I233),1.9*I233,"")</f>
        <v/>
      </c>
      <c r="L233" s="2">
        <f>IF(AND(ISNUMBER(J233),ISNUMBER(K233)),J233-K233,"")</f>
        <v/>
      </c>
      <c r="M233" s="2">
        <f>IF(ISNUMBER(L233),IF(ISNUMBER(M232),M232,0)+L233,IF(ISNUMBER(M232),M232,""))</f>
        <v/>
      </c>
      <c r="N233" s="2">
        <f>IF(ISNUMBER(M233),MAX(M$2:M233),"")</f>
        <v/>
      </c>
      <c r="O233" s="2">
        <f>IF(ISNUMBER(M233),M233-N233,"")</f>
        <v/>
      </c>
      <c r="R233" s="3">
        <f>IF(COUNT(L$2:L233)&gt;0,COUNTIF(L$2:L233,"&gt;0")/COUNT(L$2:L233)*100,"")</f>
        <v/>
      </c>
      <c r="S233" s="3">
        <f>IF(SUMIF(L$2:L233,"&lt;0")&lt;0,SUMIF(L$2:L233,"&gt;0")/ABS(SUMIF(L$2:L233,"&lt;0")),"")</f>
        <v/>
      </c>
      <c r="T233" s="2">
        <f>IF(SUM(H$2:H233)&gt;0,SUM(L$2:L233)/SUM(H$2:H233),"")</f>
        <v/>
      </c>
      <c r="U233" s="2" t="n"/>
      <c r="V233" s="2" t="n"/>
      <c r="AE233">
        <f>IF(ISNUMBER(L233),IF(L233&lt;=-200,1,0),"")</f>
        <v/>
      </c>
      <c r="AG233">
        <f>IF(ISNUMBER(O233),IF(O233&lt;=-300,1,0),"")</f>
        <v/>
      </c>
    </row>
    <row r="234">
      <c r="J234" s="2" t="n"/>
      <c r="K234" s="2">
        <f>IF(ISNUMBER(I234),1.9*I234,"")</f>
        <v/>
      </c>
      <c r="L234" s="2">
        <f>IF(AND(ISNUMBER(J234),ISNUMBER(K234)),J234-K234,"")</f>
        <v/>
      </c>
      <c r="M234" s="2">
        <f>IF(ISNUMBER(L234),IF(ISNUMBER(M233),M233,0)+L234,IF(ISNUMBER(M233),M233,""))</f>
        <v/>
      </c>
      <c r="N234" s="2">
        <f>IF(ISNUMBER(M234),MAX(M$2:M234),"")</f>
        <v/>
      </c>
      <c r="O234" s="2">
        <f>IF(ISNUMBER(M234),M234-N234,"")</f>
        <v/>
      </c>
      <c r="R234" s="3">
        <f>IF(COUNT(L$2:L234)&gt;0,COUNTIF(L$2:L234,"&gt;0")/COUNT(L$2:L234)*100,"")</f>
        <v/>
      </c>
      <c r="S234" s="3">
        <f>IF(SUMIF(L$2:L234,"&lt;0")&lt;0,SUMIF(L$2:L234,"&gt;0")/ABS(SUMIF(L$2:L234,"&lt;0")),"")</f>
        <v/>
      </c>
      <c r="T234" s="2">
        <f>IF(SUM(H$2:H234)&gt;0,SUM(L$2:L234)/SUM(H$2:H234),"")</f>
        <v/>
      </c>
      <c r="U234" s="2" t="n"/>
      <c r="V234" s="2" t="n"/>
      <c r="AE234">
        <f>IF(ISNUMBER(L234),IF(L234&lt;=-200,1,0),"")</f>
        <v/>
      </c>
      <c r="AG234">
        <f>IF(ISNUMBER(O234),IF(O234&lt;=-300,1,0),"")</f>
        <v/>
      </c>
    </row>
    <row r="235">
      <c r="J235" s="2" t="n"/>
      <c r="K235" s="2">
        <f>IF(ISNUMBER(I235),1.9*I235,"")</f>
        <v/>
      </c>
      <c r="L235" s="2">
        <f>IF(AND(ISNUMBER(J235),ISNUMBER(K235)),J235-K235,"")</f>
        <v/>
      </c>
      <c r="M235" s="2">
        <f>IF(ISNUMBER(L235),IF(ISNUMBER(M234),M234,0)+L235,IF(ISNUMBER(M234),M234,""))</f>
        <v/>
      </c>
      <c r="N235" s="2">
        <f>IF(ISNUMBER(M235),MAX(M$2:M235),"")</f>
        <v/>
      </c>
      <c r="O235" s="2">
        <f>IF(ISNUMBER(M235),M235-N235,"")</f>
        <v/>
      </c>
      <c r="R235" s="3">
        <f>IF(COUNT(L$2:L235)&gt;0,COUNTIF(L$2:L235,"&gt;0")/COUNT(L$2:L235)*100,"")</f>
        <v/>
      </c>
      <c r="S235" s="3">
        <f>IF(SUMIF(L$2:L235,"&lt;0")&lt;0,SUMIF(L$2:L235,"&gt;0")/ABS(SUMIF(L$2:L235,"&lt;0")),"")</f>
        <v/>
      </c>
      <c r="T235" s="2">
        <f>IF(SUM(H$2:H235)&gt;0,SUM(L$2:L235)/SUM(H$2:H235),"")</f>
        <v/>
      </c>
      <c r="U235" s="2" t="n"/>
      <c r="V235" s="2" t="n"/>
      <c r="AE235">
        <f>IF(ISNUMBER(L235),IF(L235&lt;=-200,1,0),"")</f>
        <v/>
      </c>
      <c r="AG235">
        <f>IF(ISNUMBER(O235),IF(O235&lt;=-300,1,0),"")</f>
        <v/>
      </c>
    </row>
    <row r="236">
      <c r="J236" s="2" t="n"/>
      <c r="K236" s="2">
        <f>IF(ISNUMBER(I236),1.9*I236,"")</f>
        <v/>
      </c>
      <c r="L236" s="2">
        <f>IF(AND(ISNUMBER(J236),ISNUMBER(K236)),J236-K236,"")</f>
        <v/>
      </c>
      <c r="M236" s="2">
        <f>IF(ISNUMBER(L236),IF(ISNUMBER(M235),M235,0)+L236,IF(ISNUMBER(M235),M235,""))</f>
        <v/>
      </c>
      <c r="N236" s="2">
        <f>IF(ISNUMBER(M236),MAX(M$2:M236),"")</f>
        <v/>
      </c>
      <c r="O236" s="2">
        <f>IF(ISNUMBER(M236),M236-N236,"")</f>
        <v/>
      </c>
      <c r="R236" s="3">
        <f>IF(COUNT(L$2:L236)&gt;0,COUNTIF(L$2:L236,"&gt;0")/COUNT(L$2:L236)*100,"")</f>
        <v/>
      </c>
      <c r="S236" s="3">
        <f>IF(SUMIF(L$2:L236,"&lt;0")&lt;0,SUMIF(L$2:L236,"&gt;0")/ABS(SUMIF(L$2:L236,"&lt;0")),"")</f>
        <v/>
      </c>
      <c r="T236" s="2">
        <f>IF(SUM(H$2:H236)&gt;0,SUM(L$2:L236)/SUM(H$2:H236),"")</f>
        <v/>
      </c>
      <c r="U236" s="2" t="n"/>
      <c r="V236" s="2" t="n"/>
      <c r="AE236">
        <f>IF(ISNUMBER(L236),IF(L236&lt;=-200,1,0),"")</f>
        <v/>
      </c>
      <c r="AG236">
        <f>IF(ISNUMBER(O236),IF(O236&lt;=-300,1,0),"")</f>
        <v/>
      </c>
    </row>
    <row r="237">
      <c r="J237" s="2" t="n"/>
      <c r="K237" s="2">
        <f>IF(ISNUMBER(I237),1.9*I237,"")</f>
        <v/>
      </c>
      <c r="L237" s="2">
        <f>IF(AND(ISNUMBER(J237),ISNUMBER(K237)),J237-K237,"")</f>
        <v/>
      </c>
      <c r="M237" s="2">
        <f>IF(ISNUMBER(L237),IF(ISNUMBER(M236),M236,0)+L237,IF(ISNUMBER(M236),M236,""))</f>
        <v/>
      </c>
      <c r="N237" s="2">
        <f>IF(ISNUMBER(M237),MAX(M$2:M237),"")</f>
        <v/>
      </c>
      <c r="O237" s="2">
        <f>IF(ISNUMBER(M237),M237-N237,"")</f>
        <v/>
      </c>
      <c r="R237" s="3">
        <f>IF(COUNT(L$2:L237)&gt;0,COUNTIF(L$2:L237,"&gt;0")/COUNT(L$2:L237)*100,"")</f>
        <v/>
      </c>
      <c r="S237" s="3">
        <f>IF(SUMIF(L$2:L237,"&lt;0")&lt;0,SUMIF(L$2:L237,"&gt;0")/ABS(SUMIF(L$2:L237,"&lt;0")),"")</f>
        <v/>
      </c>
      <c r="T237" s="2">
        <f>IF(SUM(H$2:H237)&gt;0,SUM(L$2:L237)/SUM(H$2:H237),"")</f>
        <v/>
      </c>
      <c r="U237" s="2" t="n"/>
      <c r="V237" s="2" t="n"/>
      <c r="AE237">
        <f>IF(ISNUMBER(L237),IF(L237&lt;=-200,1,0),"")</f>
        <v/>
      </c>
      <c r="AG237">
        <f>IF(ISNUMBER(O237),IF(O237&lt;=-300,1,0),"")</f>
        <v/>
      </c>
    </row>
    <row r="238">
      <c r="J238" s="2" t="n"/>
      <c r="K238" s="2">
        <f>IF(ISNUMBER(I238),1.9*I238,"")</f>
        <v/>
      </c>
      <c r="L238" s="2">
        <f>IF(AND(ISNUMBER(J238),ISNUMBER(K238)),J238-K238,"")</f>
        <v/>
      </c>
      <c r="M238" s="2">
        <f>IF(ISNUMBER(L238),IF(ISNUMBER(M237),M237,0)+L238,IF(ISNUMBER(M237),M237,""))</f>
        <v/>
      </c>
      <c r="N238" s="2">
        <f>IF(ISNUMBER(M238),MAX(M$2:M238),"")</f>
        <v/>
      </c>
      <c r="O238" s="2">
        <f>IF(ISNUMBER(M238),M238-N238,"")</f>
        <v/>
      </c>
      <c r="R238" s="3">
        <f>IF(COUNT(L$2:L238)&gt;0,COUNTIF(L$2:L238,"&gt;0")/COUNT(L$2:L238)*100,"")</f>
        <v/>
      </c>
      <c r="S238" s="3">
        <f>IF(SUMIF(L$2:L238,"&lt;0")&lt;0,SUMIF(L$2:L238,"&gt;0")/ABS(SUMIF(L$2:L238,"&lt;0")),"")</f>
        <v/>
      </c>
      <c r="T238" s="2">
        <f>IF(SUM(H$2:H238)&gt;0,SUM(L$2:L238)/SUM(H$2:H238),"")</f>
        <v/>
      </c>
      <c r="U238" s="2" t="n"/>
      <c r="V238" s="2" t="n"/>
      <c r="AE238">
        <f>IF(ISNUMBER(L238),IF(L238&lt;=-200,1,0),"")</f>
        <v/>
      </c>
      <c r="AG238">
        <f>IF(ISNUMBER(O238),IF(O238&lt;=-300,1,0),"")</f>
        <v/>
      </c>
    </row>
    <row r="239">
      <c r="J239" s="2" t="n"/>
      <c r="K239" s="2">
        <f>IF(ISNUMBER(I239),1.9*I239,"")</f>
        <v/>
      </c>
      <c r="L239" s="2">
        <f>IF(AND(ISNUMBER(J239),ISNUMBER(K239)),J239-K239,"")</f>
        <v/>
      </c>
      <c r="M239" s="2">
        <f>IF(ISNUMBER(L239),IF(ISNUMBER(M238),M238,0)+L239,IF(ISNUMBER(M238),M238,""))</f>
        <v/>
      </c>
      <c r="N239" s="2">
        <f>IF(ISNUMBER(M239),MAX(M$2:M239),"")</f>
        <v/>
      </c>
      <c r="O239" s="2">
        <f>IF(ISNUMBER(M239),M239-N239,"")</f>
        <v/>
      </c>
      <c r="R239" s="3">
        <f>IF(COUNT(L$2:L239)&gt;0,COUNTIF(L$2:L239,"&gt;0")/COUNT(L$2:L239)*100,"")</f>
        <v/>
      </c>
      <c r="S239" s="3">
        <f>IF(SUMIF(L$2:L239,"&lt;0")&lt;0,SUMIF(L$2:L239,"&gt;0")/ABS(SUMIF(L$2:L239,"&lt;0")),"")</f>
        <v/>
      </c>
      <c r="T239" s="2">
        <f>IF(SUM(H$2:H239)&gt;0,SUM(L$2:L239)/SUM(H$2:H239),"")</f>
        <v/>
      </c>
      <c r="U239" s="2" t="n"/>
      <c r="V239" s="2" t="n"/>
      <c r="AE239">
        <f>IF(ISNUMBER(L239),IF(L239&lt;=-200,1,0),"")</f>
        <v/>
      </c>
      <c r="AG239">
        <f>IF(ISNUMBER(O239),IF(O239&lt;=-300,1,0),"")</f>
        <v/>
      </c>
    </row>
    <row r="240">
      <c r="J240" s="2" t="n"/>
      <c r="K240" s="2">
        <f>IF(ISNUMBER(I240),1.9*I240,"")</f>
        <v/>
      </c>
      <c r="L240" s="2">
        <f>IF(AND(ISNUMBER(J240),ISNUMBER(K240)),J240-K240,"")</f>
        <v/>
      </c>
      <c r="M240" s="2">
        <f>IF(ISNUMBER(L240),IF(ISNUMBER(M239),M239,0)+L240,IF(ISNUMBER(M239),M239,""))</f>
        <v/>
      </c>
      <c r="N240" s="2">
        <f>IF(ISNUMBER(M240),MAX(M$2:M240),"")</f>
        <v/>
      </c>
      <c r="O240" s="2">
        <f>IF(ISNUMBER(M240),M240-N240,"")</f>
        <v/>
      </c>
      <c r="R240" s="3">
        <f>IF(COUNT(L$2:L240)&gt;0,COUNTIF(L$2:L240,"&gt;0")/COUNT(L$2:L240)*100,"")</f>
        <v/>
      </c>
      <c r="S240" s="3">
        <f>IF(SUMIF(L$2:L240,"&lt;0")&lt;0,SUMIF(L$2:L240,"&gt;0")/ABS(SUMIF(L$2:L240,"&lt;0")),"")</f>
        <v/>
      </c>
      <c r="T240" s="2">
        <f>IF(SUM(H$2:H240)&gt;0,SUM(L$2:L240)/SUM(H$2:H240),"")</f>
        <v/>
      </c>
      <c r="U240" s="2" t="n"/>
      <c r="V240" s="2" t="n"/>
      <c r="AE240">
        <f>IF(ISNUMBER(L240),IF(L240&lt;=-200,1,0),"")</f>
        <v/>
      </c>
      <c r="AG240">
        <f>IF(ISNUMBER(O240),IF(O240&lt;=-300,1,0),"")</f>
        <v/>
      </c>
    </row>
    <row r="241">
      <c r="J241" s="2" t="n"/>
      <c r="K241" s="2">
        <f>IF(ISNUMBER(I241),1.9*I241,"")</f>
        <v/>
      </c>
      <c r="L241" s="2">
        <f>IF(AND(ISNUMBER(J241),ISNUMBER(K241)),J241-K241,"")</f>
        <v/>
      </c>
      <c r="M241" s="2">
        <f>IF(ISNUMBER(L241),IF(ISNUMBER(M240),M240,0)+L241,IF(ISNUMBER(M240),M240,""))</f>
        <v/>
      </c>
      <c r="N241" s="2">
        <f>IF(ISNUMBER(M241),MAX(M$2:M241),"")</f>
        <v/>
      </c>
      <c r="O241" s="2">
        <f>IF(ISNUMBER(M241),M241-N241,"")</f>
        <v/>
      </c>
      <c r="R241" s="3">
        <f>IF(COUNT(L$2:L241)&gt;0,COUNTIF(L$2:L241,"&gt;0")/COUNT(L$2:L241)*100,"")</f>
        <v/>
      </c>
      <c r="S241" s="3">
        <f>IF(SUMIF(L$2:L241,"&lt;0")&lt;0,SUMIF(L$2:L241,"&gt;0")/ABS(SUMIF(L$2:L241,"&lt;0")),"")</f>
        <v/>
      </c>
      <c r="T241" s="2">
        <f>IF(SUM(H$2:H241)&gt;0,SUM(L$2:L241)/SUM(H$2:H241),"")</f>
        <v/>
      </c>
      <c r="U241" s="2" t="n"/>
      <c r="V241" s="2" t="n"/>
      <c r="AE241">
        <f>IF(ISNUMBER(L241),IF(L241&lt;=-200,1,0),"")</f>
        <v/>
      </c>
      <c r="AG241">
        <f>IF(ISNUMBER(O241),IF(O241&lt;=-300,1,0),"")</f>
        <v/>
      </c>
    </row>
    <row r="242">
      <c r="J242" s="2" t="n"/>
      <c r="K242" s="2">
        <f>IF(ISNUMBER(I242),1.9*I242,"")</f>
        <v/>
      </c>
      <c r="L242" s="2">
        <f>IF(AND(ISNUMBER(J242),ISNUMBER(K242)),J242-K242,"")</f>
        <v/>
      </c>
      <c r="M242" s="2">
        <f>IF(ISNUMBER(L242),IF(ISNUMBER(M241),M241,0)+L242,IF(ISNUMBER(M241),M241,""))</f>
        <v/>
      </c>
      <c r="N242" s="2">
        <f>IF(ISNUMBER(M242),MAX(M$2:M242),"")</f>
        <v/>
      </c>
      <c r="O242" s="2">
        <f>IF(ISNUMBER(M242),M242-N242,"")</f>
        <v/>
      </c>
      <c r="R242" s="3">
        <f>IF(COUNT(L$2:L242)&gt;0,COUNTIF(L$2:L242,"&gt;0")/COUNT(L$2:L242)*100,"")</f>
        <v/>
      </c>
      <c r="S242" s="3">
        <f>IF(SUMIF(L$2:L242,"&lt;0")&lt;0,SUMIF(L$2:L242,"&gt;0")/ABS(SUMIF(L$2:L242,"&lt;0")),"")</f>
        <v/>
      </c>
      <c r="T242" s="2">
        <f>IF(SUM(H$2:H242)&gt;0,SUM(L$2:L242)/SUM(H$2:H242),"")</f>
        <v/>
      </c>
      <c r="U242" s="2" t="n"/>
      <c r="V242" s="2" t="n"/>
      <c r="AE242">
        <f>IF(ISNUMBER(L242),IF(L242&lt;=-200,1,0),"")</f>
        <v/>
      </c>
      <c r="AG242">
        <f>IF(ISNUMBER(O242),IF(O242&lt;=-300,1,0),"")</f>
        <v/>
      </c>
    </row>
    <row r="243">
      <c r="J243" s="2" t="n"/>
      <c r="K243" s="2">
        <f>IF(ISNUMBER(I243),1.9*I243,"")</f>
        <v/>
      </c>
      <c r="L243" s="2">
        <f>IF(AND(ISNUMBER(J243),ISNUMBER(K243)),J243-K243,"")</f>
        <v/>
      </c>
      <c r="M243" s="2">
        <f>IF(ISNUMBER(L243),IF(ISNUMBER(M242),M242,0)+L243,IF(ISNUMBER(M242),M242,""))</f>
        <v/>
      </c>
      <c r="N243" s="2">
        <f>IF(ISNUMBER(M243),MAX(M$2:M243),"")</f>
        <v/>
      </c>
      <c r="O243" s="2">
        <f>IF(ISNUMBER(M243),M243-N243,"")</f>
        <v/>
      </c>
      <c r="R243" s="3">
        <f>IF(COUNT(L$2:L243)&gt;0,COUNTIF(L$2:L243,"&gt;0")/COUNT(L$2:L243)*100,"")</f>
        <v/>
      </c>
      <c r="S243" s="3">
        <f>IF(SUMIF(L$2:L243,"&lt;0")&lt;0,SUMIF(L$2:L243,"&gt;0")/ABS(SUMIF(L$2:L243,"&lt;0")),"")</f>
        <v/>
      </c>
      <c r="T243" s="2">
        <f>IF(SUM(H$2:H243)&gt;0,SUM(L$2:L243)/SUM(H$2:H243),"")</f>
        <v/>
      </c>
      <c r="U243" s="2" t="n"/>
      <c r="V243" s="2" t="n"/>
      <c r="AE243">
        <f>IF(ISNUMBER(L243),IF(L243&lt;=-200,1,0),"")</f>
        <v/>
      </c>
      <c r="AG243">
        <f>IF(ISNUMBER(O243),IF(O243&lt;=-300,1,0),"")</f>
        <v/>
      </c>
    </row>
    <row r="244">
      <c r="J244" s="2" t="n"/>
      <c r="K244" s="2">
        <f>IF(ISNUMBER(I244),1.9*I244,"")</f>
        <v/>
      </c>
      <c r="L244" s="2">
        <f>IF(AND(ISNUMBER(J244),ISNUMBER(K244)),J244-K244,"")</f>
        <v/>
      </c>
      <c r="M244" s="2">
        <f>IF(ISNUMBER(L244),IF(ISNUMBER(M243),M243,0)+L244,IF(ISNUMBER(M243),M243,""))</f>
        <v/>
      </c>
      <c r="N244" s="2">
        <f>IF(ISNUMBER(M244),MAX(M$2:M244),"")</f>
        <v/>
      </c>
      <c r="O244" s="2">
        <f>IF(ISNUMBER(M244),M244-N244,"")</f>
        <v/>
      </c>
      <c r="R244" s="3">
        <f>IF(COUNT(L$2:L244)&gt;0,COUNTIF(L$2:L244,"&gt;0")/COUNT(L$2:L244)*100,"")</f>
        <v/>
      </c>
      <c r="S244" s="3">
        <f>IF(SUMIF(L$2:L244,"&lt;0")&lt;0,SUMIF(L$2:L244,"&gt;0")/ABS(SUMIF(L$2:L244,"&lt;0")),"")</f>
        <v/>
      </c>
      <c r="T244" s="2">
        <f>IF(SUM(H$2:H244)&gt;0,SUM(L$2:L244)/SUM(H$2:H244),"")</f>
        <v/>
      </c>
      <c r="U244" s="2" t="n"/>
      <c r="V244" s="2" t="n"/>
      <c r="AE244">
        <f>IF(ISNUMBER(L244),IF(L244&lt;=-200,1,0),"")</f>
        <v/>
      </c>
      <c r="AG244">
        <f>IF(ISNUMBER(O244),IF(O244&lt;=-300,1,0),"")</f>
        <v/>
      </c>
    </row>
    <row r="245">
      <c r="J245" s="2" t="n"/>
      <c r="K245" s="2">
        <f>IF(ISNUMBER(I245),1.9*I245,"")</f>
        <v/>
      </c>
      <c r="L245" s="2">
        <f>IF(AND(ISNUMBER(J245),ISNUMBER(K245)),J245-K245,"")</f>
        <v/>
      </c>
      <c r="M245" s="2">
        <f>IF(ISNUMBER(L245),IF(ISNUMBER(M244),M244,0)+L245,IF(ISNUMBER(M244),M244,""))</f>
        <v/>
      </c>
      <c r="N245" s="2">
        <f>IF(ISNUMBER(M245),MAX(M$2:M245),"")</f>
        <v/>
      </c>
      <c r="O245" s="2">
        <f>IF(ISNUMBER(M245),M245-N245,"")</f>
        <v/>
      </c>
      <c r="R245" s="3">
        <f>IF(COUNT(L$2:L245)&gt;0,COUNTIF(L$2:L245,"&gt;0")/COUNT(L$2:L245)*100,"")</f>
        <v/>
      </c>
      <c r="S245" s="3">
        <f>IF(SUMIF(L$2:L245,"&lt;0")&lt;0,SUMIF(L$2:L245,"&gt;0")/ABS(SUMIF(L$2:L245,"&lt;0")),"")</f>
        <v/>
      </c>
      <c r="T245" s="2">
        <f>IF(SUM(H$2:H245)&gt;0,SUM(L$2:L245)/SUM(H$2:H245),"")</f>
        <v/>
      </c>
      <c r="U245" s="2" t="n"/>
      <c r="V245" s="2" t="n"/>
      <c r="AE245">
        <f>IF(ISNUMBER(L245),IF(L245&lt;=-200,1,0),"")</f>
        <v/>
      </c>
      <c r="AG245">
        <f>IF(ISNUMBER(O245),IF(O245&lt;=-300,1,0),"")</f>
        <v/>
      </c>
    </row>
    <row r="246">
      <c r="J246" s="2" t="n"/>
      <c r="K246" s="2">
        <f>IF(ISNUMBER(I246),1.9*I246,"")</f>
        <v/>
      </c>
      <c r="L246" s="2">
        <f>IF(AND(ISNUMBER(J246),ISNUMBER(K246)),J246-K246,"")</f>
        <v/>
      </c>
      <c r="M246" s="2">
        <f>IF(ISNUMBER(L246),IF(ISNUMBER(M245),M245,0)+L246,IF(ISNUMBER(M245),M245,""))</f>
        <v/>
      </c>
      <c r="N246" s="2">
        <f>IF(ISNUMBER(M246),MAX(M$2:M246),"")</f>
        <v/>
      </c>
      <c r="O246" s="2">
        <f>IF(ISNUMBER(M246),M246-N246,"")</f>
        <v/>
      </c>
      <c r="R246" s="3">
        <f>IF(COUNT(L$2:L246)&gt;0,COUNTIF(L$2:L246,"&gt;0")/COUNT(L$2:L246)*100,"")</f>
        <v/>
      </c>
      <c r="S246" s="3">
        <f>IF(SUMIF(L$2:L246,"&lt;0")&lt;0,SUMIF(L$2:L246,"&gt;0")/ABS(SUMIF(L$2:L246,"&lt;0")),"")</f>
        <v/>
      </c>
      <c r="T246" s="2">
        <f>IF(SUM(H$2:H246)&gt;0,SUM(L$2:L246)/SUM(H$2:H246),"")</f>
        <v/>
      </c>
      <c r="U246" s="2" t="n"/>
      <c r="V246" s="2" t="n"/>
      <c r="AE246">
        <f>IF(ISNUMBER(L246),IF(L246&lt;=-200,1,0),"")</f>
        <v/>
      </c>
      <c r="AG246">
        <f>IF(ISNUMBER(O246),IF(O246&lt;=-300,1,0),"")</f>
        <v/>
      </c>
    </row>
    <row r="247">
      <c r="J247" s="2" t="n"/>
      <c r="K247" s="2">
        <f>IF(ISNUMBER(I247),1.9*I247,"")</f>
        <v/>
      </c>
      <c r="L247" s="2">
        <f>IF(AND(ISNUMBER(J247),ISNUMBER(K247)),J247-K247,"")</f>
        <v/>
      </c>
      <c r="M247" s="2">
        <f>IF(ISNUMBER(L247),IF(ISNUMBER(M246),M246,0)+L247,IF(ISNUMBER(M246),M246,""))</f>
        <v/>
      </c>
      <c r="N247" s="2">
        <f>IF(ISNUMBER(M247),MAX(M$2:M247),"")</f>
        <v/>
      </c>
      <c r="O247" s="2">
        <f>IF(ISNUMBER(M247),M247-N247,"")</f>
        <v/>
      </c>
      <c r="R247" s="3">
        <f>IF(COUNT(L$2:L247)&gt;0,COUNTIF(L$2:L247,"&gt;0")/COUNT(L$2:L247)*100,"")</f>
        <v/>
      </c>
      <c r="S247" s="3">
        <f>IF(SUMIF(L$2:L247,"&lt;0")&lt;0,SUMIF(L$2:L247,"&gt;0")/ABS(SUMIF(L$2:L247,"&lt;0")),"")</f>
        <v/>
      </c>
      <c r="T247" s="2">
        <f>IF(SUM(H$2:H247)&gt;0,SUM(L$2:L247)/SUM(H$2:H247),"")</f>
        <v/>
      </c>
      <c r="U247" s="2" t="n"/>
      <c r="V247" s="2" t="n"/>
      <c r="AE247">
        <f>IF(ISNUMBER(L247),IF(L247&lt;=-200,1,0),"")</f>
        <v/>
      </c>
      <c r="AG247">
        <f>IF(ISNUMBER(O247),IF(O247&lt;=-300,1,0),"")</f>
        <v/>
      </c>
    </row>
    <row r="248">
      <c r="J248" s="2" t="n"/>
      <c r="K248" s="2">
        <f>IF(ISNUMBER(I248),1.9*I248,"")</f>
        <v/>
      </c>
      <c r="L248" s="2">
        <f>IF(AND(ISNUMBER(J248),ISNUMBER(K248)),J248-K248,"")</f>
        <v/>
      </c>
      <c r="M248" s="2">
        <f>IF(ISNUMBER(L248),IF(ISNUMBER(M247),M247,0)+L248,IF(ISNUMBER(M247),M247,""))</f>
        <v/>
      </c>
      <c r="N248" s="2">
        <f>IF(ISNUMBER(M248),MAX(M$2:M248),"")</f>
        <v/>
      </c>
      <c r="O248" s="2">
        <f>IF(ISNUMBER(M248),M248-N248,"")</f>
        <v/>
      </c>
      <c r="R248" s="3">
        <f>IF(COUNT(L$2:L248)&gt;0,COUNTIF(L$2:L248,"&gt;0")/COUNT(L$2:L248)*100,"")</f>
        <v/>
      </c>
      <c r="S248" s="3">
        <f>IF(SUMIF(L$2:L248,"&lt;0")&lt;0,SUMIF(L$2:L248,"&gt;0")/ABS(SUMIF(L$2:L248,"&lt;0")),"")</f>
        <v/>
      </c>
      <c r="T248" s="2">
        <f>IF(SUM(H$2:H248)&gt;0,SUM(L$2:L248)/SUM(H$2:H248),"")</f>
        <v/>
      </c>
      <c r="U248" s="2" t="n"/>
      <c r="V248" s="2" t="n"/>
      <c r="AE248">
        <f>IF(ISNUMBER(L248),IF(L248&lt;=-200,1,0),"")</f>
        <v/>
      </c>
      <c r="AG248">
        <f>IF(ISNUMBER(O248),IF(O248&lt;=-300,1,0),"")</f>
        <v/>
      </c>
    </row>
    <row r="249">
      <c r="J249" s="2" t="n"/>
      <c r="K249" s="2">
        <f>IF(ISNUMBER(I249),1.9*I249,"")</f>
        <v/>
      </c>
      <c r="L249" s="2">
        <f>IF(AND(ISNUMBER(J249),ISNUMBER(K249)),J249-K249,"")</f>
        <v/>
      </c>
      <c r="M249" s="2">
        <f>IF(ISNUMBER(L249),IF(ISNUMBER(M248),M248,0)+L249,IF(ISNUMBER(M248),M248,""))</f>
        <v/>
      </c>
      <c r="N249" s="2">
        <f>IF(ISNUMBER(M249),MAX(M$2:M249),"")</f>
        <v/>
      </c>
      <c r="O249" s="2">
        <f>IF(ISNUMBER(M249),M249-N249,"")</f>
        <v/>
      </c>
      <c r="R249" s="3">
        <f>IF(COUNT(L$2:L249)&gt;0,COUNTIF(L$2:L249,"&gt;0")/COUNT(L$2:L249)*100,"")</f>
        <v/>
      </c>
      <c r="S249" s="3">
        <f>IF(SUMIF(L$2:L249,"&lt;0")&lt;0,SUMIF(L$2:L249,"&gt;0")/ABS(SUMIF(L$2:L249,"&lt;0")),"")</f>
        <v/>
      </c>
      <c r="T249" s="2">
        <f>IF(SUM(H$2:H249)&gt;0,SUM(L$2:L249)/SUM(H$2:H249),"")</f>
        <v/>
      </c>
      <c r="U249" s="2" t="n"/>
      <c r="V249" s="2" t="n"/>
      <c r="AE249">
        <f>IF(ISNUMBER(L249),IF(L249&lt;=-200,1,0),"")</f>
        <v/>
      </c>
      <c r="AG249">
        <f>IF(ISNUMBER(O249),IF(O249&lt;=-300,1,0),"")</f>
        <v/>
      </c>
    </row>
    <row r="250">
      <c r="J250" s="2" t="n"/>
      <c r="K250" s="2">
        <f>IF(ISNUMBER(I250),1.9*I250,"")</f>
        <v/>
      </c>
      <c r="L250" s="2">
        <f>IF(AND(ISNUMBER(J250),ISNUMBER(K250)),J250-K250,"")</f>
        <v/>
      </c>
      <c r="M250" s="2">
        <f>IF(ISNUMBER(L250),IF(ISNUMBER(M249),M249,0)+L250,IF(ISNUMBER(M249),M249,""))</f>
        <v/>
      </c>
      <c r="N250" s="2">
        <f>IF(ISNUMBER(M250),MAX(M$2:M250),"")</f>
        <v/>
      </c>
      <c r="O250" s="2">
        <f>IF(ISNUMBER(M250),M250-N250,"")</f>
        <v/>
      </c>
      <c r="R250" s="3">
        <f>IF(COUNT(L$2:L250)&gt;0,COUNTIF(L$2:L250,"&gt;0")/COUNT(L$2:L250)*100,"")</f>
        <v/>
      </c>
      <c r="S250" s="3">
        <f>IF(SUMIF(L$2:L250,"&lt;0")&lt;0,SUMIF(L$2:L250,"&gt;0")/ABS(SUMIF(L$2:L250,"&lt;0")),"")</f>
        <v/>
      </c>
      <c r="T250" s="2">
        <f>IF(SUM(H$2:H250)&gt;0,SUM(L$2:L250)/SUM(H$2:H250),"")</f>
        <v/>
      </c>
      <c r="U250" s="2" t="n"/>
      <c r="V250" s="2" t="n"/>
      <c r="AE250">
        <f>IF(ISNUMBER(L250),IF(L250&lt;=-200,1,0),"")</f>
        <v/>
      </c>
      <c r="AG250">
        <f>IF(ISNUMBER(O250),IF(O250&lt;=-300,1,0),"")</f>
        <v/>
      </c>
    </row>
    <row r="251">
      <c r="J251" s="2" t="n"/>
      <c r="K251" s="2">
        <f>IF(ISNUMBER(I251),1.9*I251,"")</f>
        <v/>
      </c>
      <c r="L251" s="2">
        <f>IF(AND(ISNUMBER(J251),ISNUMBER(K251)),J251-K251,"")</f>
        <v/>
      </c>
      <c r="M251" s="2">
        <f>IF(ISNUMBER(L251),IF(ISNUMBER(M250),M250,0)+L251,IF(ISNUMBER(M250),M250,""))</f>
        <v/>
      </c>
      <c r="N251" s="2">
        <f>IF(ISNUMBER(M251),MAX(M$2:M251),"")</f>
        <v/>
      </c>
      <c r="O251" s="2">
        <f>IF(ISNUMBER(M251),M251-N251,"")</f>
        <v/>
      </c>
      <c r="R251" s="3">
        <f>IF(COUNT(L$2:L251)&gt;0,COUNTIF(L$2:L251,"&gt;0")/COUNT(L$2:L251)*100,"")</f>
        <v/>
      </c>
      <c r="S251" s="3">
        <f>IF(SUMIF(L$2:L251,"&lt;0")&lt;0,SUMIF(L$2:L251,"&gt;0")/ABS(SUMIF(L$2:L251,"&lt;0")),"")</f>
        <v/>
      </c>
      <c r="T251" s="2">
        <f>IF(SUM(H$2:H251)&gt;0,SUM(L$2:L251)/SUM(H$2:H251),"")</f>
        <v/>
      </c>
      <c r="U251" s="2" t="n"/>
      <c r="V251" s="2" t="n"/>
      <c r="AE251">
        <f>IF(ISNUMBER(L251),IF(L251&lt;=-200,1,0),"")</f>
        <v/>
      </c>
      <c r="AG251">
        <f>IF(ISNUMBER(O251),IF(O251&lt;=-300,1,0),"")</f>
        <v/>
      </c>
    </row>
  </sheetData>
  <conditionalFormatting sqref="O2:O251">
    <cfRule type="cellIs" priority="1" operator="lessThanOrEqual" dxfId="0">
      <formula>-300</formula>
    </cfRule>
  </conditionalFormatting>
  <conditionalFormatting sqref="L2:L251">
    <cfRule type="cellIs" priority="2" operator="lessThanOrEqual" dxfId="0">
      <formula>-200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</cols>
  <sheetData>
    <row r="1">
      <c r="A1" s="4" t="inlineStr">
        <is>
          <t>Trading days completed (rows with adj)</t>
        </is>
      </c>
      <c r="B1" s="5">
        <f>COUNT('Daily Journal'!L2:L251)</f>
        <v/>
      </c>
    </row>
    <row r="2">
      <c r="A2" s="4" t="inlineStr">
        <is>
          <t>Total trades</t>
        </is>
      </c>
      <c r="B2" s="5">
        <f>SUM('Daily Journal'!H2:H251)</f>
        <v/>
      </c>
    </row>
    <row r="3">
      <c r="A3" s="4" t="inlineStr">
        <is>
          <t>Cumulative adjusted PnL</t>
        </is>
      </c>
      <c r="B3" s="2">
        <f>SUM('Daily Journal'!L2:L251)</f>
        <v/>
      </c>
    </row>
    <row r="4">
      <c r="A4" s="4" t="inlineStr">
        <is>
          <t>Adjusted PF</t>
        </is>
      </c>
      <c r="B4" s="3">
        <f>IF(SUMIF('Daily Journal'!L2:L251,"&lt;0")&lt;0,SUMIF('Daily Journal'!L2:L251,"&gt;0")/ABS(SUMIF('Daily Journal'!L2:L251,"&lt;0")),"")</f>
        <v/>
      </c>
    </row>
    <row r="5">
      <c r="A5" s="4" t="inlineStr">
        <is>
          <t>Win % (winning days / days with trades)</t>
        </is>
      </c>
      <c r="B5" s="3">
        <f>IF(COUNT('Daily Journal'!L2:L251)&gt;0,COUNTIF('Daily Journal'!L2:L251,"&gt;0")/COUNT('Daily Journal'!L2:L251)*100,"")</f>
        <v/>
      </c>
    </row>
    <row r="6">
      <c r="A6" s="4" t="inlineStr">
        <is>
          <t>Avg adjusted PnL per trade</t>
        </is>
      </c>
      <c r="B6" s="2">
        <f>IF(SUM('Daily Journal'!H2:H251)&gt;0,SUM('Daily Journal'!L2:L251)/SUM('Daily Journal'!H2:H251),"")</f>
        <v/>
      </c>
    </row>
    <row r="7">
      <c r="A7" s="4" t="inlineStr">
        <is>
          <t>Max trailing drawdown</t>
        </is>
      </c>
      <c r="B7" s="2">
        <f>IF(COUNT('Daily Journal'!O2:O251)&gt;0,MIN('Daily Journal'!O2:O251),"")</f>
        <v/>
      </c>
    </row>
    <row r="8">
      <c r="A8" s="4" t="inlineStr">
        <is>
          <t>Daily stops triggered</t>
        </is>
      </c>
      <c r="B8" s="5">
        <f>SUM('Daily Journal'!AE2:AE251)</f>
        <v/>
      </c>
    </row>
    <row r="9">
      <c r="A9" s="4" t="inlineStr">
        <is>
          <t>Trailing DD stops triggered</t>
        </is>
      </c>
      <c r="B9" s="5">
        <f>SUM('Daily Journal'!AG2:AG251)</f>
        <v/>
      </c>
    </row>
    <row r="10">
      <c r="A10" s="6" t="inlineStr"/>
    </row>
    <row r="11">
      <c r="A11" s="4" t="inlineStr">
        <is>
          <t>PASS gates (informational only)</t>
        </is>
      </c>
    </row>
    <row r="12">
      <c r="A12" s="6" t="inlineStr">
        <is>
          <t xml:space="preserve">  adj PF &gt;= 1.50</t>
        </is>
      </c>
      <c r="B12">
        <f>IF(B4="","",IF(B4&gt;=1.5,"PASS","FAIL"))</f>
        <v/>
      </c>
    </row>
    <row r="13">
      <c r="A13" s="6" t="inlineStr">
        <is>
          <t xml:space="preserve">  win % &gt;= 45</t>
        </is>
      </c>
      <c r="B13">
        <f>IF(B5="","",IF(B5&gt;=45,"PASS","FAIL"))</f>
        <v/>
      </c>
    </row>
    <row r="14">
      <c r="A14" s="6" t="inlineStr">
        <is>
          <t xml:space="preserve">  max DD &gt;= -300</t>
        </is>
      </c>
      <c r="B14">
        <f>IF(B7="","",IF(B7&gt;=-300,"PASS","FAIL"))</f>
        <v/>
      </c>
    </row>
    <row r="15">
      <c r="A15" s="6" t="inlineStr">
        <is>
          <t xml:space="preserve">  trades &gt;= 25</t>
        </is>
      </c>
      <c r="B15">
        <f>IF(B2&gt;=25,"PASS","FAIL")</f>
        <v/>
      </c>
    </row>
    <row r="16">
      <c r="A16" s="6" t="inlineStr">
        <is>
          <t xml:space="preserve">  days &gt;= 60</t>
        </is>
      </c>
      <c r="B16">
        <f>IF(B1&gt;=60,"PASS","FAIL")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PAPER B1 ShortOnly — Daily Journal</t>
        </is>
      </c>
    </row>
    <row r="2">
      <c r="A2" t="inlineStr"/>
    </row>
    <row r="3">
      <c r="A3" t="inlineStr">
        <is>
          <t>This workbook tracks daily paper-forward-test results for NTAMicroVwapRiskPilot (B1 ShortOnly).</t>
        </is>
      </c>
    </row>
    <row r="4">
      <c r="A4" t="inlineStr">
        <is>
          <t>See PAPER_B1_SHORTONLY_RUNBOOK.md / PAPER_B1_SHORTONLY_PROFILE.json / PAPER_B1_SHORTONLY_CHECKLIST.md.</t>
        </is>
      </c>
    </row>
    <row r="5">
      <c r="A5" t="inlineStr"/>
    </row>
    <row r="6">
      <c r="A6" t="inlineStr">
        <is>
          <t>Manually fill these columns each trading day:</t>
        </is>
      </c>
    </row>
    <row r="7">
      <c r="A7" t="inlineStr">
        <is>
          <t xml:space="preserve">  date_pt, trading_day_number, session_status, strategy_enabled_time_pt, strategy_disabled_time_pt,</t>
        </is>
      </c>
    </row>
    <row r="8">
      <c r="A8" t="inlineStr">
        <is>
          <t xml:space="preserve">  instrument, contract_month, trades_count, total_qty, gross_pnl, daily_win_count, daily_loss_count,</t>
        </is>
      </c>
    </row>
    <row r="9">
      <c r="A9" t="inlineStr">
        <is>
          <t xml:space="preserve">  max_favorable_trade, max_adverse_trade, median_slippage_ticks, max_slippage_ticks,</t>
        </is>
      </c>
    </row>
    <row r="10">
      <c r="A10" t="inlineStr">
        <is>
          <t xml:space="preserve">  stop_hit_count, target_hit_count, manual_intervention, platform_error, data_issue,</t>
        </is>
      </c>
    </row>
    <row r="11">
      <c r="A11" t="inlineStr">
        <is>
          <t xml:space="preserve">  rule_violation, weekly_stop_triggered, notes.</t>
        </is>
      </c>
    </row>
    <row r="12">
      <c r="A12" t="inlineStr"/>
    </row>
    <row r="13">
      <c r="A13" t="inlineStr">
        <is>
          <t>Auto-computed:</t>
        </is>
      </c>
    </row>
    <row r="14">
      <c r="A14" t="inlineStr">
        <is>
          <t xml:space="preserve">  commission_estimated = 1.9 * total_qty</t>
        </is>
      </c>
    </row>
    <row r="15">
      <c r="A15" t="inlineStr">
        <is>
          <t xml:space="preserve">  adjusted_pnl         = gross_pnl - commission_estimated</t>
        </is>
      </c>
    </row>
    <row r="16">
      <c r="A16" t="inlineStr">
        <is>
          <t xml:space="preserve">  cumulative_adjusted_pnl, high_water_mark, current_drawdown,</t>
        </is>
      </c>
    </row>
    <row r="17">
      <c r="A17" t="inlineStr">
        <is>
          <t xml:space="preserve">  cumulative_win_pct, cumulative_adjusted_pf, avg_trade,</t>
        </is>
      </c>
    </row>
    <row r="18">
      <c r="A18" t="inlineStr">
        <is>
          <t xml:space="preserve">  daily_stop_triggered (adj &lt;= -200), trailing_dd_stop_triggered (DD &lt;= -300).</t>
        </is>
      </c>
    </row>
    <row r="19">
      <c r="A19" t="inlineStr"/>
    </row>
    <row r="20">
      <c r="A20" t="inlineStr">
        <is>
          <t>Conditional formatting:</t>
        </is>
      </c>
    </row>
    <row r="21">
      <c r="A21" t="inlineStr">
        <is>
          <t xml:space="preserve">  red    = adjusted_pnl &lt;= -200 OR current_drawdown &lt;= -300</t>
        </is>
      </c>
    </row>
    <row r="22">
      <c r="A22" t="inlineStr">
        <is>
          <t xml:space="preserve">  green  = adjusted_pnl &gt; 0</t>
        </is>
      </c>
    </row>
    <row r="23">
      <c r="A23" t="inlineStr"/>
    </row>
    <row r="24">
      <c r="A24" t="inlineStr">
        <is>
          <t>Risk plan: daily -$200, weekly -$400, trailing DD -$300, hard cap 5 contracts.</t>
        </is>
      </c>
    </row>
    <row r="25">
      <c r="A25" t="inlineStr">
        <is>
          <t>Pass thresholds (review): adj PF &gt;= 1.50, win% &gt;= 45, DD &lt;= $300, no risk breach.</t>
        </is>
      </c>
    </row>
    <row r="26">
      <c r="A26" t="inlineStr">
        <is>
          <t>Fail thresholds (return to research): adj PF &lt; 1.20 OR DD &gt; $300 OR &lt;10 trades after 90 trading days.</t>
        </is>
      </c>
    </row>
    <row r="27">
      <c r="A27" t="inlineStr"/>
    </row>
    <row r="28">
      <c r="A28" t="inlineStr">
        <is>
          <t>Validation baseline (Phase 14R / job ui_20260501T185820607Z):</t>
        </is>
      </c>
    </row>
    <row r="29">
      <c r="A29" t="inlineStr">
        <is>
          <t xml:space="preserve">  92 trades, Adj +2738.30, aPF 2.49, Adj DD -174, 8/8 positive quarters.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2026-05-01T20:44:42Z</dcterms:created>
  <dcterms:modified xsi:type="dcterms:W3CDTF">2026-05-01T20:44:42Z</dcterms:modified>
</cp:coreProperties>
</file>